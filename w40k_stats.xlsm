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https://elevcampus-my.sharepoint.com/personal/je_statsskolen_dk/Documents/privat/rollespil/"/>
    </mc:Choice>
  </mc:AlternateContent>
  <xr:revisionPtr revIDLastSave="63" documentId="11_DD2D36CC72442369A968CEC0DF76FBA6B9489726" xr6:coauthVersionLast="44" xr6:coauthVersionMax="44" xr10:uidLastSave="{A1AC7F27-190A-4F0C-9B7A-6EEC3F1C8F7F}"/>
  <bookViews>
    <workbookView xWindow="4305" yWindow="840" windowWidth="21915" windowHeight="17760" xr2:uid="{00000000-000D-0000-FFFF-FFFF00000000}"/>
  </bookViews>
  <sheets>
    <sheet name="Overview" sheetId="1" r:id="rId1"/>
    <sheet name="Ark2" sheetId="3" r:id="rId2"/>
    <sheet name="Ark3" sheetId="4" r:id="rId3"/>
    <sheet name="Nmy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116" i="1" l="1"/>
  <c r="AC100" i="1"/>
  <c r="B116" i="1"/>
  <c r="C116" i="1"/>
  <c r="E116" i="1"/>
  <c r="D116" i="1"/>
  <c r="AB56" i="1" l="1"/>
  <c r="E100" i="1"/>
  <c r="D100" i="1"/>
  <c r="B100" i="1"/>
  <c r="C100" i="1"/>
  <c r="B99" i="1"/>
  <c r="AB62" i="1" l="1"/>
  <c r="C63" i="1"/>
  <c r="G62" i="1"/>
  <c r="E64" i="1"/>
  <c r="E65" i="1"/>
  <c r="B65" i="1"/>
  <c r="C65" i="1"/>
  <c r="D64" i="1"/>
  <c r="D65" i="1"/>
  <c r="C64" i="1"/>
  <c r="B64" i="1"/>
  <c r="E63" i="1"/>
  <c r="B63" i="1"/>
  <c r="D63" i="1"/>
  <c r="C62" i="1" l="1"/>
  <c r="D62" i="1"/>
  <c r="B62" i="1"/>
  <c r="E62" i="1"/>
  <c r="AC127" i="1"/>
  <c r="AC128" i="1"/>
  <c r="AC129" i="1"/>
  <c r="AC130" i="1"/>
  <c r="AC131" i="1"/>
  <c r="AC132" i="1"/>
  <c r="AC133" i="1"/>
  <c r="AC134" i="1"/>
  <c r="AC135" i="1"/>
  <c r="AC136" i="1"/>
  <c r="AC126" i="1"/>
  <c r="AB77" i="1"/>
  <c r="B133" i="1"/>
  <c r="D78" i="1"/>
  <c r="E128" i="1"/>
  <c r="E132" i="1"/>
  <c r="E78" i="1"/>
  <c r="C134" i="1"/>
  <c r="C131" i="1"/>
  <c r="D135" i="1"/>
  <c r="B79" i="1"/>
  <c r="C136" i="1"/>
  <c r="D130" i="1"/>
  <c r="C130" i="1"/>
  <c r="D127" i="1"/>
  <c r="B129" i="1"/>
  <c r="E135" i="1"/>
  <c r="C133" i="1"/>
  <c r="C127" i="1"/>
  <c r="E130" i="1"/>
  <c r="D131" i="1"/>
  <c r="B130" i="1"/>
  <c r="C78" i="1"/>
  <c r="B128" i="1"/>
  <c r="D128" i="1"/>
  <c r="B134" i="1"/>
  <c r="C135" i="1"/>
  <c r="D134" i="1"/>
  <c r="D79" i="1"/>
  <c r="B135" i="1"/>
  <c r="E129" i="1"/>
  <c r="C79" i="1"/>
  <c r="G77" i="1"/>
  <c r="D126" i="1"/>
  <c r="E134" i="1"/>
  <c r="E136" i="1"/>
  <c r="E131" i="1"/>
  <c r="C129" i="1"/>
  <c r="B131" i="1"/>
  <c r="B136" i="1"/>
  <c r="D129" i="1"/>
  <c r="C132" i="1"/>
  <c r="C128" i="1"/>
  <c r="B78" i="1"/>
  <c r="E79" i="1"/>
  <c r="D136" i="1"/>
  <c r="D132" i="1"/>
  <c r="B126" i="1"/>
  <c r="C126" i="1"/>
  <c r="B132" i="1"/>
  <c r="D133" i="1"/>
  <c r="B127" i="1"/>
  <c r="E127" i="1"/>
  <c r="E126" i="1"/>
  <c r="E133" i="1"/>
  <c r="AB125" i="1" l="1"/>
  <c r="D125" i="1" s="1"/>
  <c r="B77" i="1"/>
  <c r="C77" i="1"/>
  <c r="D77" i="1"/>
  <c r="E77" i="1"/>
  <c r="AC120" i="1"/>
  <c r="AC119" i="1"/>
  <c r="AC117" i="1"/>
  <c r="AC118" i="1"/>
  <c r="G125" i="1"/>
  <c r="C121" i="1"/>
  <c r="C120" i="1"/>
  <c r="E117" i="1"/>
  <c r="C117" i="1"/>
  <c r="E119" i="1"/>
  <c r="C118" i="1"/>
  <c r="E120" i="1"/>
  <c r="D118" i="1"/>
  <c r="C119" i="1"/>
  <c r="E118" i="1"/>
  <c r="D121" i="1"/>
  <c r="E121" i="1"/>
  <c r="B121" i="1"/>
  <c r="D119" i="1"/>
  <c r="D117" i="1"/>
  <c r="B118" i="1"/>
  <c r="B117" i="1"/>
  <c r="B120" i="1"/>
  <c r="D120" i="1"/>
  <c r="B119" i="1"/>
  <c r="B125" i="1" l="1"/>
  <c r="E125" i="1"/>
  <c r="C125" i="1"/>
  <c r="AC101" i="1"/>
  <c r="AC102" i="1"/>
  <c r="AC103" i="1"/>
  <c r="G34" i="1"/>
  <c r="G149" i="1"/>
  <c r="G87" i="1"/>
  <c r="G74" i="1"/>
  <c r="G47" i="1"/>
  <c r="G31" i="1"/>
  <c r="G84" i="1"/>
  <c r="G21" i="1"/>
  <c r="G26" i="1"/>
  <c r="G28" i="1"/>
  <c r="G14" i="1"/>
  <c r="G81" i="1"/>
  <c r="G17" i="1"/>
  <c r="C103" i="1"/>
  <c r="D101" i="1"/>
  <c r="E103" i="1"/>
  <c r="B103" i="1"/>
  <c r="D102" i="1"/>
  <c r="D103" i="1"/>
  <c r="E102" i="1"/>
  <c r="B101" i="1"/>
  <c r="C104" i="1"/>
  <c r="B102" i="1"/>
  <c r="E101" i="1"/>
  <c r="C101" i="1"/>
  <c r="C102" i="1"/>
  <c r="B104" i="1"/>
  <c r="AC122" i="1" l="1"/>
  <c r="D122" i="1"/>
  <c r="C122" i="1"/>
  <c r="E122" i="1"/>
  <c r="B122" i="1"/>
  <c r="AB173" i="1" l="1"/>
  <c r="B175" i="1"/>
  <c r="E175" i="1"/>
  <c r="C174" i="1"/>
  <c r="D175" i="1"/>
  <c r="E174" i="1"/>
  <c r="D174" i="1"/>
  <c r="C175" i="1"/>
  <c r="G173" i="1"/>
  <c r="B174" i="1"/>
  <c r="D173" i="1" l="1"/>
  <c r="C173" i="1"/>
  <c r="E173" i="1"/>
  <c r="B173" i="1"/>
  <c r="AB176" i="1"/>
  <c r="E22" i="1"/>
  <c r="E141" i="1"/>
  <c r="B42" i="1"/>
  <c r="C143" i="1"/>
  <c r="C151" i="1"/>
  <c r="E83" i="1"/>
  <c r="E42" i="1"/>
  <c r="E89" i="1"/>
  <c r="E35" i="1"/>
  <c r="E72" i="1"/>
  <c r="C82" i="1"/>
  <c r="B49" i="1"/>
  <c r="E195" i="1"/>
  <c r="B22" i="1"/>
  <c r="C36" i="1"/>
  <c r="B182" i="1"/>
  <c r="E146" i="1"/>
  <c r="B88" i="1"/>
  <c r="B54" i="1"/>
  <c r="C75" i="1"/>
  <c r="C192" i="1"/>
  <c r="K3" i="1"/>
  <c r="B187" i="1"/>
  <c r="E60" i="1"/>
  <c r="B192" i="1"/>
  <c r="C177" i="1"/>
  <c r="E53" i="1"/>
  <c r="C180" i="1"/>
  <c r="E151" i="1"/>
  <c r="E71" i="1"/>
  <c r="E180" i="1"/>
  <c r="E150" i="1"/>
  <c r="B147" i="1"/>
  <c r="E193" i="1"/>
  <c r="E138" i="1"/>
  <c r="B55" i="1"/>
  <c r="B178" i="1"/>
  <c r="B32" i="1"/>
  <c r="B68" i="1"/>
  <c r="B16" i="1"/>
  <c r="B43" i="1"/>
  <c r="C147" i="1"/>
  <c r="B86" i="1"/>
  <c r="C24" i="1"/>
  <c r="C46" i="1"/>
  <c r="C68" i="1"/>
  <c r="E190" i="1"/>
  <c r="B69" i="1"/>
  <c r="B24" i="1"/>
  <c r="E37" i="1"/>
  <c r="E183" i="1"/>
  <c r="E33" i="1"/>
  <c r="E179" i="1"/>
  <c r="E58" i="1"/>
  <c r="E88" i="1"/>
  <c r="C178" i="1"/>
  <c r="B82" i="1"/>
  <c r="C138" i="1"/>
  <c r="B37" i="1"/>
  <c r="B75" i="1"/>
  <c r="C42" i="1"/>
  <c r="C148" i="1"/>
  <c r="C57" i="1"/>
  <c r="C61" i="1"/>
  <c r="C25" i="1"/>
  <c r="C27" i="1"/>
  <c r="C69" i="1"/>
  <c r="B53" i="1"/>
  <c r="C72" i="1"/>
  <c r="E48" i="1"/>
  <c r="E82" i="1"/>
  <c r="C70" i="1"/>
  <c r="E194" i="1"/>
  <c r="B25" i="1"/>
  <c r="B180" i="1"/>
  <c r="B10" i="1"/>
  <c r="B181" i="1"/>
  <c r="E29" i="1"/>
  <c r="C18" i="1"/>
  <c r="B67" i="1"/>
  <c r="C20" i="1"/>
  <c r="E10" i="1"/>
  <c r="B191" i="1"/>
  <c r="B194" i="1"/>
  <c r="C67" i="1"/>
  <c r="B189" i="1"/>
  <c r="E52" i="1"/>
  <c r="B151" i="1"/>
  <c r="B73" i="1"/>
  <c r="B150" i="1"/>
  <c r="E147" i="1"/>
  <c r="C52" i="1"/>
  <c r="C53" i="1"/>
  <c r="C186" i="1"/>
  <c r="B61" i="1"/>
  <c r="E11" i="1"/>
  <c r="B70" i="1"/>
  <c r="C29" i="1"/>
  <c r="E69" i="1"/>
  <c r="E148" i="1"/>
  <c r="E25" i="1"/>
  <c r="C184" i="1"/>
  <c r="C183" i="1"/>
  <c r="B83" i="1"/>
  <c r="C86" i="1"/>
  <c r="C191" i="1"/>
  <c r="E76" i="1"/>
  <c r="B72" i="1"/>
  <c r="E143" i="1"/>
  <c r="B36" i="1"/>
  <c r="C41" i="1"/>
  <c r="C145" i="1"/>
  <c r="C150" i="1"/>
  <c r="B141" i="1"/>
  <c r="E73" i="1"/>
  <c r="E24" i="1"/>
  <c r="E55" i="1"/>
  <c r="E57" i="1"/>
  <c r="C194" i="1"/>
  <c r="B188" i="1"/>
  <c r="E187" i="1"/>
  <c r="E18" i="1"/>
  <c r="E23" i="1"/>
  <c r="B138" i="1"/>
  <c r="E43" i="1"/>
  <c r="C146" i="1"/>
  <c r="E145" i="1"/>
  <c r="C13" i="1"/>
  <c r="E46" i="1"/>
  <c r="E177" i="1"/>
  <c r="B143" i="1"/>
  <c r="B184" i="1"/>
  <c r="C89" i="1"/>
  <c r="E49" i="1"/>
  <c r="E191" i="1"/>
  <c r="B15" i="1"/>
  <c r="B20" i="1"/>
  <c r="C76" i="1"/>
  <c r="B57" i="1"/>
  <c r="B139" i="1"/>
  <c r="B89" i="1"/>
  <c r="B39" i="1"/>
  <c r="C190" i="1"/>
  <c r="C16" i="1"/>
  <c r="C181" i="1"/>
  <c r="B59" i="1"/>
  <c r="C19" i="1"/>
  <c r="C43" i="1"/>
  <c r="E186" i="1"/>
  <c r="B179" i="1"/>
  <c r="E50" i="1"/>
  <c r="E86" i="1"/>
  <c r="C45" i="1"/>
  <c r="E41" i="1"/>
  <c r="C50" i="1"/>
  <c r="C71" i="1"/>
  <c r="E20" i="1"/>
  <c r="C49" i="1"/>
  <c r="B71" i="1"/>
  <c r="G176" i="1"/>
  <c r="E39" i="1"/>
  <c r="B146" i="1"/>
  <c r="B23" i="1"/>
  <c r="E192" i="1"/>
  <c r="C142" i="1"/>
  <c r="C193" i="1"/>
  <c r="B40" i="1"/>
  <c r="E36" i="1"/>
  <c r="E32" i="1"/>
  <c r="B41" i="1"/>
  <c r="E189" i="1"/>
  <c r="E67" i="1"/>
  <c r="C73" i="1"/>
  <c r="E30" i="1"/>
  <c r="C195" i="1"/>
  <c r="C37" i="1"/>
  <c r="C141" i="1"/>
  <c r="B12" i="1"/>
  <c r="B58" i="1"/>
  <c r="B11" i="1"/>
  <c r="E184" i="1"/>
  <c r="B190" i="1"/>
  <c r="B45" i="1"/>
  <c r="B183" i="1"/>
  <c r="E181" i="1"/>
  <c r="B30" i="1"/>
  <c r="B48" i="1"/>
  <c r="B177" i="1"/>
  <c r="C11" i="1"/>
  <c r="C187" i="1"/>
  <c r="B46" i="1"/>
  <c r="E75" i="1"/>
  <c r="E139" i="1"/>
  <c r="B145" i="1"/>
  <c r="C32" i="1"/>
  <c r="C83" i="1"/>
  <c r="B142" i="1"/>
  <c r="E188" i="1"/>
  <c r="C188" i="1"/>
  <c r="B186" i="1"/>
  <c r="C48" i="1"/>
  <c r="E142" i="1"/>
  <c r="B18" i="1"/>
  <c r="C189" i="1"/>
  <c r="B76" i="1"/>
  <c r="K4" i="1"/>
  <c r="E15" i="1"/>
  <c r="E178" i="1"/>
  <c r="C15" i="1"/>
  <c r="B193" i="1"/>
  <c r="F77" i="1"/>
  <c r="E61" i="1"/>
  <c r="B50" i="1"/>
  <c r="C139" i="1"/>
  <c r="E13" i="1"/>
  <c r="C88" i="1"/>
  <c r="C40" i="1"/>
  <c r="E54" i="1"/>
  <c r="B13" i="1"/>
  <c r="B35" i="1"/>
  <c r="C35" i="1"/>
  <c r="C39" i="1"/>
  <c r="E68" i="1"/>
  <c r="C182" i="1"/>
  <c r="B148" i="1"/>
  <c r="C59" i="1"/>
  <c r="B195" i="1"/>
  <c r="C179" i="1"/>
  <c r="B19" i="1"/>
  <c r="E182" i="1"/>
  <c r="E70" i="1"/>
  <c r="E59" i="1"/>
  <c r="H125" i="1"/>
  <c r="H77" i="1"/>
  <c r="C109" i="1"/>
  <c r="E123" i="1"/>
  <c r="E113" i="1"/>
  <c r="B115" i="1"/>
  <c r="B110" i="1"/>
  <c r="E115" i="1"/>
  <c r="B109" i="1"/>
  <c r="E114" i="1"/>
  <c r="B111" i="1"/>
  <c r="B112" i="1"/>
  <c r="B123" i="1"/>
  <c r="C123" i="1"/>
  <c r="C113" i="1"/>
  <c r="B114" i="1"/>
  <c r="E110" i="1"/>
  <c r="C110" i="1"/>
  <c r="E111" i="1"/>
  <c r="C111" i="1"/>
  <c r="C112" i="1"/>
  <c r="B113" i="1"/>
  <c r="C115" i="1"/>
  <c r="C114" i="1"/>
  <c r="E109" i="1"/>
  <c r="E112" i="1"/>
  <c r="E31" i="1" l="1"/>
  <c r="E34" i="1"/>
  <c r="C47" i="1"/>
  <c r="E47" i="1"/>
  <c r="B47" i="1"/>
  <c r="E28" i="1"/>
  <c r="E21" i="1"/>
  <c r="B14" i="1"/>
  <c r="F62" i="1"/>
  <c r="F21" i="1"/>
  <c r="E166" i="1"/>
  <c r="D165" i="1"/>
  <c r="F176" i="1"/>
  <c r="E154" i="1"/>
  <c r="D22" i="1"/>
  <c r="D75" i="1"/>
  <c r="D82" i="1"/>
  <c r="D190" i="1"/>
  <c r="C171" i="1"/>
  <c r="D143" i="1"/>
  <c r="D20" i="1"/>
  <c r="D178" i="1"/>
  <c r="D167" i="1"/>
  <c r="D27" i="1"/>
  <c r="D13" i="1"/>
  <c r="D183" i="1"/>
  <c r="D160" i="1"/>
  <c r="H149" i="1"/>
  <c r="D53" i="1"/>
  <c r="D150" i="1"/>
  <c r="D188" i="1"/>
  <c r="D187" i="1"/>
  <c r="D155" i="1"/>
  <c r="F125" i="1"/>
  <c r="D170" i="1"/>
  <c r="B60" i="1"/>
  <c r="H31" i="1"/>
  <c r="D171" i="1"/>
  <c r="C169" i="1"/>
  <c r="D69" i="1"/>
  <c r="C158" i="1"/>
  <c r="B29" i="1"/>
  <c r="E40" i="1"/>
  <c r="F17" i="1"/>
  <c r="D71" i="1"/>
  <c r="D161" i="1"/>
  <c r="H26" i="1"/>
  <c r="H81" i="1"/>
  <c r="C168" i="1"/>
  <c r="H17" i="1"/>
  <c r="C30" i="1"/>
  <c r="C160" i="1"/>
  <c r="D157" i="1"/>
  <c r="D86" i="1"/>
  <c r="B160" i="1"/>
  <c r="D42" i="1"/>
  <c r="H176" i="1"/>
  <c r="D32" i="1"/>
  <c r="D18" i="1"/>
  <c r="E167" i="1"/>
  <c r="B162" i="1"/>
  <c r="D40" i="1"/>
  <c r="E19" i="1"/>
  <c r="F28" i="1"/>
  <c r="E45" i="1"/>
  <c r="E156" i="1"/>
  <c r="D182" i="1"/>
  <c r="B167" i="1"/>
  <c r="H47" i="1"/>
  <c r="D166" i="1"/>
  <c r="E168" i="1"/>
  <c r="H21" i="1"/>
  <c r="B155" i="1"/>
  <c r="D139" i="1"/>
  <c r="C55" i="1"/>
  <c r="C60" i="1"/>
  <c r="C163" i="1"/>
  <c r="E165" i="1"/>
  <c r="D48" i="1"/>
  <c r="C156" i="1"/>
  <c r="B159" i="1"/>
  <c r="E157" i="1"/>
  <c r="B158" i="1"/>
  <c r="D23" i="1"/>
  <c r="D15" i="1"/>
  <c r="D43" i="1"/>
  <c r="D148" i="1"/>
  <c r="E12" i="1"/>
  <c r="D54" i="1"/>
  <c r="B168" i="1"/>
  <c r="D186" i="1"/>
  <c r="D83" i="1"/>
  <c r="H173" i="1"/>
  <c r="D184" i="1"/>
  <c r="E163" i="1"/>
  <c r="C154" i="1"/>
  <c r="B157" i="1"/>
  <c r="D11" i="1"/>
  <c r="D138" i="1"/>
  <c r="D60" i="1"/>
  <c r="D45" i="1"/>
  <c r="D88" i="1"/>
  <c r="B161" i="1"/>
  <c r="C33" i="1"/>
  <c r="B171" i="1"/>
  <c r="B172" i="1"/>
  <c r="D159" i="1"/>
  <c r="D180" i="1"/>
  <c r="E27" i="1"/>
  <c r="D158" i="1"/>
  <c r="B27" i="1"/>
  <c r="B166" i="1"/>
  <c r="B52" i="1"/>
  <c r="E160" i="1"/>
  <c r="H14" i="1"/>
  <c r="D151" i="1"/>
  <c r="C58" i="1"/>
  <c r="D68" i="1"/>
  <c r="F87" i="1"/>
  <c r="D181" i="1"/>
  <c r="E169" i="1"/>
  <c r="E158" i="1"/>
  <c r="D16" i="1"/>
  <c r="D55" i="1"/>
  <c r="C155" i="1"/>
  <c r="D191" i="1"/>
  <c r="D33" i="1"/>
  <c r="F84" i="1"/>
  <c r="E155" i="1"/>
  <c r="D49" i="1"/>
  <c r="D35" i="1"/>
  <c r="H74" i="1"/>
  <c r="E162" i="1"/>
  <c r="C167" i="1"/>
  <c r="C23" i="1"/>
  <c r="C54" i="1"/>
  <c r="D58" i="1"/>
  <c r="D168" i="1"/>
  <c r="D25" i="1"/>
  <c r="D89" i="1"/>
  <c r="D61" i="1"/>
  <c r="C162" i="1"/>
  <c r="E161" i="1"/>
  <c r="F26" i="1"/>
  <c r="D19" i="1"/>
  <c r="D145" i="1"/>
  <c r="E16" i="1"/>
  <c r="B154" i="1"/>
  <c r="B156" i="1"/>
  <c r="C157" i="1"/>
  <c r="E171" i="1"/>
  <c r="D172" i="1"/>
  <c r="D141" i="1"/>
  <c r="C161" i="1"/>
  <c r="D30" i="1"/>
  <c r="D142" i="1"/>
  <c r="F74" i="1"/>
  <c r="D41" i="1"/>
  <c r="C170" i="1"/>
  <c r="F81" i="1"/>
  <c r="E159" i="1"/>
  <c r="D50" i="1"/>
  <c r="B165" i="1"/>
  <c r="D189" i="1"/>
  <c r="D39" i="1"/>
  <c r="D179" i="1"/>
  <c r="D146" i="1"/>
  <c r="D147" i="1"/>
  <c r="D192" i="1"/>
  <c r="D177" i="1"/>
  <c r="H84" i="1"/>
  <c r="H87" i="1"/>
  <c r="D195" i="1"/>
  <c r="D163" i="1"/>
  <c r="D12" i="1"/>
  <c r="F34" i="1"/>
  <c r="D193" i="1"/>
  <c r="D46" i="1"/>
  <c r="D37" i="1"/>
  <c r="D156" i="1"/>
  <c r="C172" i="1"/>
  <c r="D57" i="1"/>
  <c r="D59" i="1"/>
  <c r="C166" i="1"/>
  <c r="D72" i="1"/>
  <c r="C12" i="1"/>
  <c r="F149" i="1"/>
  <c r="D154" i="1"/>
  <c r="D52" i="1"/>
  <c r="B33" i="1"/>
  <c r="D73" i="1"/>
  <c r="D10" i="1"/>
  <c r="F14" i="1"/>
  <c r="E172" i="1"/>
  <c r="D162" i="1"/>
  <c r="B169" i="1"/>
  <c r="F47" i="1"/>
  <c r="F31" i="1"/>
  <c r="B163" i="1"/>
  <c r="D36" i="1"/>
  <c r="H62" i="1"/>
  <c r="D67" i="1"/>
  <c r="D169" i="1"/>
  <c r="C159" i="1"/>
  <c r="D194" i="1"/>
  <c r="D29" i="1"/>
  <c r="D76" i="1"/>
  <c r="C10" i="1"/>
  <c r="F173" i="1"/>
  <c r="B170" i="1"/>
  <c r="C22" i="1"/>
  <c r="H34" i="1"/>
  <c r="H28" i="1"/>
  <c r="C165" i="1"/>
  <c r="D24" i="1"/>
  <c r="E170" i="1"/>
  <c r="D70" i="1"/>
  <c r="D109" i="1"/>
  <c r="D113" i="1"/>
  <c r="D111" i="1"/>
  <c r="D110" i="1"/>
  <c r="D115" i="1"/>
  <c r="D123" i="1"/>
  <c r="D112" i="1"/>
  <c r="D114" i="1"/>
  <c r="E99" i="1"/>
  <c r="E96" i="1"/>
  <c r="D93" i="1"/>
  <c r="E105" i="1"/>
  <c r="C105" i="1"/>
  <c r="B95" i="1"/>
  <c r="E94" i="1"/>
  <c r="C97" i="1"/>
  <c r="D97" i="1"/>
  <c r="C93" i="1"/>
  <c r="D98" i="1"/>
  <c r="E98" i="1"/>
  <c r="C106" i="1"/>
  <c r="D96" i="1"/>
  <c r="E93" i="1"/>
  <c r="E97" i="1"/>
  <c r="C94" i="1"/>
  <c r="E106" i="1"/>
  <c r="E104" i="1"/>
  <c r="D106" i="1"/>
  <c r="B98" i="1"/>
  <c r="B94" i="1"/>
  <c r="B105" i="1"/>
  <c r="D95" i="1"/>
  <c r="B93" i="1"/>
  <c r="E95" i="1"/>
  <c r="D105" i="1"/>
  <c r="C99" i="1"/>
  <c r="C96" i="1"/>
  <c r="B96" i="1"/>
  <c r="D94" i="1"/>
  <c r="D104" i="1"/>
  <c r="D99" i="1"/>
  <c r="B106" i="1"/>
  <c r="C98" i="1"/>
  <c r="C95" i="1"/>
  <c r="B97" i="1"/>
  <c r="D14" i="1" l="1"/>
  <c r="D31" i="1"/>
  <c r="D28" i="1"/>
  <c r="D47" i="1"/>
  <c r="D21" i="1"/>
  <c r="C21" i="1"/>
  <c r="E17" i="1"/>
  <c r="E14" i="1"/>
  <c r="D34" i="1"/>
  <c r="D26" i="1"/>
  <c r="D17" i="1"/>
  <c r="E26" i="1"/>
  <c r="AC172" i="1"/>
  <c r="AC171" i="1"/>
  <c r="AC170" i="1"/>
  <c r="AC169" i="1"/>
  <c r="AC168" i="1"/>
  <c r="AC167" i="1"/>
  <c r="AC166" i="1"/>
  <c r="AC165" i="1"/>
  <c r="AC188" i="1"/>
  <c r="AC189" i="1"/>
  <c r="AC190" i="1"/>
  <c r="AC155" i="1"/>
  <c r="AC156" i="1"/>
  <c r="AC157" i="1"/>
  <c r="AC158" i="1"/>
  <c r="AC159" i="1"/>
  <c r="AC160" i="1"/>
  <c r="AC161" i="1"/>
  <c r="AC162" i="1"/>
  <c r="AC163" i="1"/>
  <c r="AC154" i="1"/>
  <c r="AB153" i="1" l="1"/>
  <c r="AB164" i="1"/>
  <c r="N6" i="4"/>
  <c r="M5" i="4"/>
  <c r="M4" i="4"/>
  <c r="G164" i="1"/>
  <c r="G153" i="1"/>
  <c r="C153" i="1" l="1"/>
  <c r="E153" i="1"/>
  <c r="B153" i="1"/>
  <c r="D153" i="1"/>
  <c r="E164" i="1"/>
  <c r="B164" i="1"/>
  <c r="D164" i="1"/>
  <c r="C164" i="1"/>
  <c r="AB144" i="1"/>
  <c r="AB140" i="1"/>
  <c r="AB137" i="1"/>
  <c r="F164" i="1"/>
  <c r="G137" i="1"/>
  <c r="H164" i="1"/>
  <c r="F153" i="1"/>
  <c r="G144" i="1"/>
  <c r="H153" i="1"/>
  <c r="G140" i="1"/>
  <c r="C149" i="1" l="1"/>
  <c r="B149" i="1"/>
  <c r="B144" i="1"/>
  <c r="C144" i="1"/>
  <c r="D144" i="1"/>
  <c r="E144" i="1"/>
  <c r="D149" i="1"/>
  <c r="E149" i="1"/>
  <c r="D140" i="1"/>
  <c r="E140" i="1"/>
  <c r="B140" i="1"/>
  <c r="C140" i="1"/>
  <c r="E137" i="1"/>
  <c r="D137" i="1"/>
  <c r="C137" i="1"/>
  <c r="B137" i="1"/>
  <c r="AC104" i="1"/>
  <c r="AC105" i="1"/>
  <c r="AC99" i="1"/>
  <c r="AC121" i="1"/>
  <c r="AC115" i="1"/>
  <c r="F140" i="1"/>
  <c r="F144" i="1"/>
  <c r="H144" i="1"/>
  <c r="H137" i="1"/>
  <c r="H140" i="1"/>
  <c r="F137" i="1"/>
  <c r="AC191" i="1" l="1"/>
  <c r="AC192" i="1"/>
  <c r="AC193" i="1"/>
  <c r="AC194" i="1"/>
  <c r="AC195" i="1"/>
  <c r="AC187" i="1"/>
  <c r="AB185" i="1" l="1"/>
  <c r="AC123" i="1"/>
  <c r="AC114" i="1"/>
  <c r="AC113" i="1"/>
  <c r="AC112" i="1"/>
  <c r="AC111" i="1"/>
  <c r="AC110" i="1"/>
  <c r="AC109" i="1"/>
  <c r="AC94" i="1"/>
  <c r="AC95" i="1"/>
  <c r="AC96" i="1"/>
  <c r="AC97" i="1"/>
  <c r="AC98" i="1"/>
  <c r="AC106" i="1"/>
  <c r="AC93" i="1"/>
  <c r="G185" i="1"/>
  <c r="AB108" i="1" l="1"/>
  <c r="B185" i="1"/>
  <c r="E185" i="1"/>
  <c r="D185" i="1"/>
  <c r="C185" i="1"/>
  <c r="E87" i="1"/>
  <c r="E74" i="1"/>
  <c r="E81" i="1"/>
  <c r="AB92" i="1"/>
  <c r="D92" i="1" s="1"/>
  <c r="F185" i="1"/>
  <c r="H185" i="1"/>
  <c r="G108" i="1"/>
  <c r="G92" i="1"/>
  <c r="B108" i="1" l="1"/>
  <c r="E176" i="1"/>
  <c r="C92" i="1"/>
  <c r="E92" i="1"/>
  <c r="E108" i="1"/>
  <c r="D108" i="1"/>
  <c r="C108" i="1"/>
  <c r="B92" i="1"/>
  <c r="D87" i="1"/>
  <c r="D81" i="1"/>
  <c r="D74" i="1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9" i="3"/>
  <c r="E45" i="3" s="1"/>
  <c r="F108" i="1"/>
  <c r="H108" i="1"/>
  <c r="F92" i="1"/>
  <c r="H92" i="1"/>
  <c r="D3" i="3" l="1"/>
  <c r="D2" i="3"/>
  <c r="V85" i="1" l="1"/>
  <c r="D85" i="1"/>
  <c r="B85" i="1"/>
  <c r="E85" i="1"/>
  <c r="C85" i="1"/>
  <c r="E84" i="1" l="1"/>
  <c r="D84" i="1"/>
  <c r="B87" i="1"/>
  <c r="C87" i="1"/>
  <c r="B84" i="1"/>
  <c r="C84" i="1"/>
  <c r="D176" i="1"/>
  <c r="AB66" i="1"/>
  <c r="G66" i="1"/>
  <c r="D66" i="1" l="1"/>
  <c r="E66" i="1"/>
  <c r="B74" i="1"/>
  <c r="C74" i="1"/>
  <c r="B81" i="1"/>
  <c r="C81" i="1"/>
  <c r="C176" i="1"/>
  <c r="B176" i="1"/>
  <c r="F56" i="1"/>
  <c r="H66" i="1"/>
  <c r="F66" i="1"/>
  <c r="E56" i="1" l="1"/>
  <c r="D56" i="1"/>
  <c r="C56" i="1"/>
  <c r="C66" i="1"/>
  <c r="B66" i="1"/>
  <c r="B56" i="1"/>
  <c r="AB51" i="1"/>
  <c r="G56" i="1"/>
  <c r="H56" i="1"/>
  <c r="G51" i="1"/>
  <c r="H51" i="1"/>
  <c r="F51" i="1"/>
  <c r="D51" i="1" l="1"/>
  <c r="E51" i="1"/>
  <c r="B51" i="1"/>
  <c r="C51" i="1"/>
  <c r="AB44" i="1" l="1"/>
  <c r="H44" i="1"/>
  <c r="F44" i="1"/>
  <c r="G44" i="1"/>
  <c r="E44" i="1" l="1"/>
  <c r="D44" i="1"/>
  <c r="C44" i="1"/>
  <c r="B44" i="1"/>
  <c r="AB9" i="1"/>
  <c r="G9" i="1"/>
  <c r="D9" i="1" l="1"/>
  <c r="E9" i="1"/>
  <c r="C9" i="1"/>
  <c r="C26" i="1"/>
  <c r="AB38" i="1"/>
  <c r="B26" i="1"/>
  <c r="F38" i="1"/>
  <c r="F9" i="1"/>
  <c r="G38" i="1"/>
  <c r="H38" i="1"/>
  <c r="H9" i="1"/>
  <c r="D38" i="1" l="1"/>
  <c r="E38" i="1"/>
  <c r="C17" i="1"/>
  <c r="B28" i="1"/>
  <c r="B17" i="1"/>
  <c r="B38" i="1"/>
  <c r="B34" i="1"/>
  <c r="C14" i="1"/>
  <c r="B21" i="1"/>
  <c r="B31" i="1"/>
  <c r="C38" i="1"/>
  <c r="C34" i="1"/>
  <c r="C28" i="1"/>
  <c r="C31" i="1"/>
  <c r="B9" i="1"/>
</calcChain>
</file>

<file path=xl/sharedStrings.xml><?xml version="1.0" encoding="utf-8"?>
<sst xmlns="http://schemas.openxmlformats.org/spreadsheetml/2006/main" count="753" uniqueCount="220">
  <si>
    <t>5"</t>
  </si>
  <si>
    <t>2+</t>
  </si>
  <si>
    <t>3+</t>
  </si>
  <si>
    <t>12"</t>
  </si>
  <si>
    <t>-</t>
  </si>
  <si>
    <t>Boltgun</t>
  </si>
  <si>
    <t>24"</t>
  </si>
  <si>
    <t>6"</t>
  </si>
  <si>
    <t>D6</t>
  </si>
  <si>
    <t>If the target is within half range of this weapon, roll two dice when inflicting damage with it and discard the lowest result.</t>
  </si>
  <si>
    <t>Unit</t>
  </si>
  <si>
    <t>M</t>
  </si>
  <si>
    <t>WS</t>
  </si>
  <si>
    <t>BS</t>
  </si>
  <si>
    <t>S</t>
  </si>
  <si>
    <t>T</t>
  </si>
  <si>
    <t>W</t>
  </si>
  <si>
    <t>A</t>
  </si>
  <si>
    <t>Ld</t>
  </si>
  <si>
    <t>Save</t>
  </si>
  <si>
    <t>Ref</t>
  </si>
  <si>
    <t>Missile launcher, Frag missile</t>
  </si>
  <si>
    <t>48"</t>
  </si>
  <si>
    <t>Missile launcher, Krak missile</t>
  </si>
  <si>
    <t>Sv</t>
  </si>
  <si>
    <t>wpn</t>
  </si>
  <si>
    <t>Rng</t>
  </si>
  <si>
    <t>Type</t>
  </si>
  <si>
    <t>AP</t>
  </si>
  <si>
    <t>D</t>
  </si>
  <si>
    <t>Notes</t>
  </si>
  <si>
    <t>Razorback</t>
  </si>
  <si>
    <t>6+</t>
  </si>
  <si>
    <t>Storm bolter</t>
  </si>
  <si>
    <t>Twin assault cannon</t>
  </si>
  <si>
    <t>Dreadnought</t>
  </si>
  <si>
    <t>Assault cannon</t>
  </si>
  <si>
    <t>Twin autocannon</t>
  </si>
  <si>
    <t>pts</t>
  </si>
  <si>
    <t>Hurricane bolter</t>
  </si>
  <si>
    <t>Multi-melta</t>
  </si>
  <si>
    <t>Whirlwind</t>
  </si>
  <si>
    <t>Whirlwind castellan launcher</t>
  </si>
  <si>
    <t>72"</t>
  </si>
  <si>
    <t>Predator</t>
  </si>
  <si>
    <t>Heavy bolter</t>
  </si>
  <si>
    <t>36"</t>
  </si>
  <si>
    <t>Predator autocannon</t>
  </si>
  <si>
    <t>Genestealer</t>
  </si>
  <si>
    <t>8"</t>
  </si>
  <si>
    <t>4+</t>
  </si>
  <si>
    <t>5+/5++</t>
  </si>
  <si>
    <t>Codex: Tyranids p89</t>
  </si>
  <si>
    <t>Hormagaunt</t>
  </si>
  <si>
    <t>Termagant</t>
  </si>
  <si>
    <t>Deathwing Terminator</t>
  </si>
  <si>
    <t>#wpn</t>
  </si>
  <si>
    <t>Devastator</t>
  </si>
  <si>
    <t>Rapid Fire</t>
  </si>
  <si>
    <t>Land Raider Achilles</t>
  </si>
  <si>
    <t>Quad launcher, Shatter shells</t>
  </si>
  <si>
    <t>Heavy 4</t>
  </si>
  <si>
    <t>Quad launcher, Thunderfire shells</t>
  </si>
  <si>
    <t>60"</t>
  </si>
  <si>
    <t>Heavy 4D3</t>
  </si>
  <si>
    <t>This weapon can target units not visible to the firing model.</t>
  </si>
  <si>
    <t>Twin multi-melta</t>
  </si>
  <si>
    <t>Heavy 2</t>
  </si>
  <si>
    <t>If the target is within half range of this weapon, roll two dice when inflicting damage with it and discard the</t>
  </si>
  <si>
    <t>Land Raider Ares</t>
  </si>
  <si>
    <t>Demolisher</t>
  </si>
  <si>
    <t>x2 mod 5+ models</t>
  </si>
  <si>
    <t>Land Raider Crusader</t>
  </si>
  <si>
    <t>Tyranid Warrior</t>
  </si>
  <si>
    <t>Deathspitter</t>
  </si>
  <si>
    <t>Weapon</t>
  </si>
  <si>
    <t>Range</t>
  </si>
  <si>
    <t>Abilities</t>
  </si>
  <si>
    <t>Assault</t>
  </si>
  <si>
    <t>#att</t>
  </si>
  <si>
    <t>Thunderfire Cannon</t>
  </si>
  <si>
    <t>3"</t>
  </si>
  <si>
    <t>Relic Sicaran Punisher</t>
  </si>
  <si>
    <t>Punisher rotary cannon</t>
  </si>
  <si>
    <t>Rapier Carrier</t>
  </si>
  <si>
    <t>Heavy 12</t>
  </si>
  <si>
    <t>Quad heavy bolter</t>
  </si>
  <si>
    <t>Laser destroyer</t>
  </si>
  <si>
    <t>Heavy 1</t>
  </si>
  <si>
    <t>If this weapon successfully inflicts damage, roll an additional D6. On a result of a '3-5', the weapon's damage is increased to 2D6. On a result of a '6', the weapon's damage is increased to 3D6.</t>
  </si>
  <si>
    <t>#</t>
  </si>
  <si>
    <t>Chimera</t>
  </si>
  <si>
    <t>*</t>
  </si>
  <si>
    <t>Heavy 3</t>
  </si>
  <si>
    <t>Heavy stubber</t>
  </si>
  <si>
    <t>Lasgun Array</t>
  </si>
  <si>
    <t>Rapid Fire 3</t>
  </si>
  <si>
    <t>This weapon can only be fired if a unit is embarked upon the vehicle equipped with it.</t>
  </si>
  <si>
    <t>Heavy flamer</t>
  </si>
  <si>
    <t>Heavy D6</t>
  </si>
  <si>
    <t>This weapon automatically hits its target</t>
  </si>
  <si>
    <t>Rapid Fire 2</t>
  </si>
  <si>
    <t>Heavy Weapons Team</t>
  </si>
  <si>
    <t>5+</t>
  </si>
  <si>
    <t>Lasgun</t>
  </si>
  <si>
    <t>Rapid Fire 1</t>
  </si>
  <si>
    <t>Mortar</t>
  </si>
  <si>
    <t>This weapon can target units that are not visible to the firer.</t>
  </si>
  <si>
    <t>Autocannon</t>
  </si>
  <si>
    <t>Lascannon</t>
  </si>
  <si>
    <t>Basilisk</t>
  </si>
  <si>
    <t>Earthshaker Cannon</t>
  </si>
  <si>
    <t>240"</t>
  </si>
  <si>
    <t>Roll two dice for the number of attacks when firing this weapon and discard the lowest result. This weapon can target units that are not visible to the bearer.</t>
  </si>
  <si>
    <t>Wyvern</t>
  </si>
  <si>
    <t>Heavy 4D6</t>
  </si>
  <si>
    <t>Wyvern Quad Stormshard Mortar</t>
  </si>
  <si>
    <t>This weapon can target units not visible to the bearer. You can re-roll failed wound rolls for this weapon.</t>
  </si>
  <si>
    <t>Inf squad</t>
  </si>
  <si>
    <t>0"</t>
  </si>
  <si>
    <t>Heavy Quad launcher</t>
  </si>
  <si>
    <t>This weapon can target units that are not visible to the bearer.</t>
  </si>
  <si>
    <t>Heavy Mortar</t>
  </si>
  <si>
    <t>This weapon can target units not visible to the bearer.</t>
  </si>
  <si>
    <t>Tauros</t>
  </si>
  <si>
    <t>no</t>
  </si>
  <si>
    <t>Vets</t>
  </si>
  <si>
    <t>hit</t>
  </si>
  <si>
    <t>Tank Commander</t>
  </si>
  <si>
    <t>Plasma cannon, Standard</t>
  </si>
  <si>
    <t>Heavy D3</t>
  </si>
  <si>
    <t>Plasma cannon, Supercharge</t>
  </si>
  <si>
    <t>On a hit roll of 1, the bearer is slain after all of this weapon's shots have been resolved.</t>
  </si>
  <si>
    <t>Punisher Gatling Cannon</t>
  </si>
  <si>
    <t>Heavy 20</t>
  </si>
  <si>
    <t>Battle Cannon</t>
  </si>
  <si>
    <t>Exterminator Autocannon</t>
  </si>
  <si>
    <t>Track Guards</t>
  </si>
  <si>
    <t>Leman Russ</t>
  </si>
  <si>
    <t>Conqueror Battle Cannon</t>
  </si>
  <si>
    <t>Vet Squad</t>
  </si>
  <si>
    <t>Sniper Rifle</t>
  </si>
  <si>
    <t>Toughness</t>
  </si>
  <si>
    <t>Invul</t>
  </si>
  <si>
    <t>Wounds</t>
  </si>
  <si>
    <t>Cover</t>
  </si>
  <si>
    <t>Tauros Venator</t>
  </si>
  <si>
    <t>15"</t>
  </si>
  <si>
    <t>Twin lascannon</t>
  </si>
  <si>
    <t>Twin Multi-Laser</t>
  </si>
  <si>
    <t>Heavy 6</t>
  </si>
  <si>
    <t>Tauros Assault</t>
  </si>
  <si>
    <t>Frag Grenade</t>
  </si>
  <si>
    <t>Assault 2D6</t>
  </si>
  <si>
    <t>Krak Grenade</t>
  </si>
  <si>
    <t>Assault 2</t>
  </si>
  <si>
    <t>Salamander Scout Tank</t>
  </si>
  <si>
    <t>Hellhound</t>
  </si>
  <si>
    <t>Inferno Cannon</t>
  </si>
  <si>
    <t>16"</t>
  </si>
  <si>
    <t>Heavy 2D6</t>
  </si>
  <si>
    <t>Bullgryn</t>
  </si>
  <si>
    <t>Damage</t>
  </si>
  <si>
    <t>Devourer</t>
  </si>
  <si>
    <t>vs LRMBT</t>
  </si>
  <si>
    <t>Armoured Sentinel</t>
  </si>
  <si>
    <t>This weapon automatically hits its target.</t>
  </si>
  <si>
    <t>Missile launcher</t>
  </si>
  <si>
    <t> - Frag missile</t>
  </si>
  <si>
    <t> - Krak missile</t>
  </si>
  <si>
    <t>Multi-laser</t>
  </si>
  <si>
    <t>Plasma cannon</t>
  </si>
  <si>
    <t> - Standard</t>
  </si>
  <si>
    <t> - Supercharge</t>
  </si>
  <si>
    <t>On a hit roll of 1, the bearer is slain after all of this weapon’s shots have been resolved.</t>
  </si>
  <si>
    <t>Offensive</t>
  </si>
  <si>
    <t>Vs Lascannon</t>
  </si>
  <si>
    <t>Vs Bolter</t>
  </si>
  <si>
    <t>Plasma gun</t>
  </si>
  <si>
    <t>Overcharge</t>
  </si>
  <si>
    <t>Defensive, BS:</t>
  </si>
  <si>
    <t>4+/5++</t>
  </si>
  <si>
    <t>#models</t>
  </si>
  <si>
    <t>Scout Sentinel</t>
  </si>
  <si>
    <t>Elysians</t>
  </si>
  <si>
    <t>Hard: LR</t>
  </si>
  <si>
    <t>Soft: Guard</t>
  </si>
  <si>
    <t>SvStr</t>
  </si>
  <si>
    <t>Function WOUND(BSstr As String, NoAtt, S, AP, Dam, T, SvStr As String, Wounds)</t>
  </si>
  <si>
    <t>Grenadier gauntlet</t>
  </si>
  <si>
    <t>Assault D6</t>
  </si>
  <si>
    <t>Bullgryn maul</t>
  </si>
  <si>
    <t>Melee</t>
  </si>
  <si>
    <t>Annihilator Twin lascannon</t>
  </si>
  <si>
    <t>Executioner plasma std</t>
  </si>
  <si>
    <t>Executioner plasma sup</t>
  </si>
  <si>
    <t>Heavy D7</t>
  </si>
  <si>
    <t>Eradicator nova cannon</t>
  </si>
  <si>
    <t>Units attacked by this weapon do not gain any bonus to their saving throws for being in cover.</t>
  </si>
  <si>
    <t>Vs Hvy bolt</t>
  </si>
  <si>
    <t>MEQ</t>
  </si>
  <si>
    <t>GEQ</t>
  </si>
  <si>
    <t>Tank</t>
  </si>
  <si>
    <t>Knight</t>
  </si>
  <si>
    <t>3+/5++</t>
  </si>
  <si>
    <t>Manticore</t>
  </si>
  <si>
    <t>120"</t>
  </si>
  <si>
    <t>Storm Eagle Rocket</t>
  </si>
  <si>
    <t>Carnodon</t>
  </si>
  <si>
    <t>Twin Lascannon</t>
  </si>
  <si>
    <t>Twin Autocannon</t>
  </si>
  <si>
    <t>Twin Multi-laser</t>
  </si>
  <si>
    <t>Volkite Caliver</t>
  </si>
  <si>
    <t>Heavy</t>
  </si>
  <si>
    <t>Volkite Culverin</t>
  </si>
  <si>
    <t>30"</t>
  </si>
  <si>
    <t>45"</t>
  </si>
  <si>
    <t>10"</t>
  </si>
  <si>
    <t>Taurox</t>
  </si>
  <si>
    <t>14"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</si>
</sst>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Impact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B4BBB4"/>
        <bgColor indexed="64"/>
      </patternFill>
    </fill>
    <fill>
      <patternFill patternType="solid">
        <fgColor rgb="FFFF999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rgb="FF10101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right" vertical="center"/>
    </xf>
    <xf numFmtId="0" fontId="0" fillId="0" borderId="0" xfId="0" applyFont="1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ont="1" applyFill="1" applyBorder="1" applyAlignment="1">
      <alignment horizontal="right"/>
    </xf>
    <xf numFmtId="0" fontId="0" fillId="0" borderId="0" xfId="0" applyFill="1" applyBorder="1" applyAlignment="1"/>
    <xf numFmtId="2" fontId="0" fillId="0" borderId="0" xfId="0" applyNumberFormat="1" applyAlignment="1">
      <alignment horizontal="left" vertical="center"/>
    </xf>
    <xf numFmtId="2" fontId="0" fillId="0" borderId="0" xfId="0" applyNumberFormat="1" applyAlignment="1">
      <alignment vertical="center"/>
    </xf>
    <xf numFmtId="2" fontId="0" fillId="0" borderId="0" xfId="0" applyNumberFormat="1" applyAlignment="1"/>
    <xf numFmtId="2" fontId="3" fillId="0" borderId="0" xfId="0" applyNumberFormat="1" applyFont="1" applyAlignment="1">
      <alignment vertical="center"/>
    </xf>
    <xf numFmtId="2" fontId="2" fillId="2" borderId="1" xfId="1" applyNumberFormat="1" applyFont="1" applyBorder="1" applyAlignment="1">
      <alignment vertical="center"/>
    </xf>
    <xf numFmtId="0" fontId="4" fillId="0" borderId="1" xfId="0" applyFont="1" applyBorder="1" applyAlignment="1"/>
    <xf numFmtId="0" fontId="5" fillId="3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0" xfId="0" applyFont="1" applyFill="1" applyBorder="1" applyAlignment="1">
      <alignment vertical="center" wrapText="1"/>
    </xf>
    <xf numFmtId="0" fontId="5" fillId="3" borderId="0" xfId="0" applyFont="1" applyFill="1" applyBorder="1" applyAlignment="1">
      <alignment vertical="center" wrapText="1"/>
    </xf>
    <xf numFmtId="0" fontId="0" fillId="0" borderId="0" xfId="0" applyNumberFormat="1" applyAlignment="1">
      <alignment horizontal="left" vertical="center"/>
    </xf>
    <xf numFmtId="2" fontId="0" fillId="0" borderId="3" xfId="0" applyNumberFormat="1" applyBorder="1" applyAlignment="1"/>
    <xf numFmtId="2" fontId="0" fillId="0" borderId="3" xfId="0" applyNumberFormat="1" applyBorder="1" applyAlignment="1">
      <alignment horizontal="left" vertical="center"/>
    </xf>
    <xf numFmtId="2" fontId="0" fillId="0" borderId="3" xfId="0" applyNumberFormat="1" applyBorder="1" applyAlignment="1">
      <alignment vertical="center"/>
    </xf>
    <xf numFmtId="2" fontId="3" fillId="0" borderId="3" xfId="0" applyNumberFormat="1" applyFont="1" applyBorder="1" applyAlignment="1">
      <alignment vertical="center"/>
    </xf>
    <xf numFmtId="2" fontId="2" fillId="2" borderId="4" xfId="1" applyNumberFormat="1" applyFont="1" applyBorder="1" applyAlignment="1">
      <alignment vertical="center"/>
    </xf>
    <xf numFmtId="2" fontId="2" fillId="2" borderId="0" xfId="1" applyNumberFormat="1" applyFont="1" applyBorder="1" applyAlignment="1">
      <alignment vertical="center"/>
    </xf>
    <xf numFmtId="0" fontId="4" fillId="0" borderId="0" xfId="0" applyFont="1" applyBorder="1" applyAlignment="1"/>
    <xf numFmtId="0" fontId="0" fillId="0" borderId="5" xfId="0" applyBorder="1"/>
    <xf numFmtId="2" fontId="2" fillId="2" borderId="5" xfId="1" applyNumberFormat="1" applyFont="1" applyBorder="1" applyAlignment="1">
      <alignment vertical="center"/>
    </xf>
    <xf numFmtId="2" fontId="0" fillId="0" borderId="5" xfId="0" applyNumberFormat="1" applyBorder="1" applyAlignment="1">
      <alignment vertical="center"/>
    </xf>
    <xf numFmtId="2" fontId="0" fillId="0" borderId="6" xfId="0" applyNumberFormat="1" applyBorder="1" applyAlignment="1">
      <alignment vertical="center"/>
    </xf>
    <xf numFmtId="0" fontId="0" fillId="0" borderId="5" xfId="0" applyBorder="1" applyAlignment="1"/>
    <xf numFmtId="0" fontId="0" fillId="0" borderId="0" xfId="0" applyBorder="1" applyAlignment="1"/>
    <xf numFmtId="2" fontId="0" fillId="4" borderId="0" xfId="0" applyNumberFormat="1" applyFill="1" applyAlignment="1">
      <alignment vertical="center"/>
    </xf>
    <xf numFmtId="2" fontId="0" fillId="4" borderId="3" xfId="0" applyNumberForma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5" xfId="0" applyFill="1" applyBorder="1" applyAlignment="1"/>
    <xf numFmtId="0" fontId="0" fillId="0" borderId="0" xfId="0" applyBorder="1" applyAlignment="1">
      <alignment vertical="center"/>
    </xf>
    <xf numFmtId="0" fontId="4" fillId="0" borderId="5" xfId="0" applyFont="1" applyBorder="1" applyAlignment="1"/>
    <xf numFmtId="0" fontId="0" fillId="0" borderId="3" xfId="0" applyNumberFormat="1" applyBorder="1" applyAlignment="1">
      <alignment horizontal="left" vertical="center"/>
    </xf>
    <xf numFmtId="2" fontId="0" fillId="0" borderId="0" xfId="0" applyNumberFormat="1" applyFill="1" applyBorder="1" applyAlignment="1">
      <alignment horizontal="left" vertical="center"/>
    </xf>
    <xf numFmtId="2" fontId="2" fillId="2" borderId="5" xfId="1" applyNumberFormat="1" applyBorder="1" applyAlignment="1">
      <alignment vertical="center"/>
    </xf>
    <xf numFmtId="0" fontId="0" fillId="0" borderId="5" xfId="0" applyFont="1" applyBorder="1" applyAlignment="1">
      <alignment horizontal="right" vertical="center"/>
    </xf>
    <xf numFmtId="0" fontId="0" fillId="0" borderId="5" xfId="0" applyFont="1" applyBorder="1" applyAlignment="1">
      <alignment horizontal="right"/>
    </xf>
    <xf numFmtId="2" fontId="2" fillId="2" borderId="7" xfId="1" applyNumberFormat="1" applyBorder="1" applyAlignment="1">
      <alignment vertical="center"/>
    </xf>
    <xf numFmtId="2" fontId="2" fillId="2" borderId="5" xfId="1" applyNumberFormat="1" applyBorder="1" applyAlignment="1"/>
    <xf numFmtId="0" fontId="0" fillId="0" borderId="5" xfId="0" applyBorder="1" applyAlignment="1">
      <alignment vertical="center" wrapText="1"/>
    </xf>
    <xf numFmtId="2" fontId="2" fillId="2" borderId="3" xfId="1" applyNumberFormat="1" applyFont="1" applyBorder="1" applyAlignment="1">
      <alignment vertical="center"/>
    </xf>
    <xf numFmtId="2" fontId="2" fillId="2" borderId="8" xfId="1" applyNumberFormat="1" applyBorder="1" applyAlignment="1">
      <alignment vertical="center"/>
    </xf>
    <xf numFmtId="2" fontId="2" fillId="2" borderId="6" xfId="1" applyNumberFormat="1" applyBorder="1" applyAlignment="1">
      <alignment vertical="center"/>
    </xf>
    <xf numFmtId="2" fontId="2" fillId="2" borderId="6" xfId="1" applyNumberFormat="1" applyBorder="1" applyAlignment="1"/>
    <xf numFmtId="0" fontId="0" fillId="0" borderId="3" xfId="0" applyBorder="1" applyAlignment="1"/>
    <xf numFmtId="2" fontId="2" fillId="2" borderId="6" xfId="1" applyNumberFormat="1" applyFont="1" applyBorder="1" applyAlignment="1">
      <alignment vertical="center"/>
    </xf>
    <xf numFmtId="0" fontId="4" fillId="0" borderId="3" xfId="0" applyFont="1" applyBorder="1" applyAlignment="1"/>
    <xf numFmtId="0" fontId="4" fillId="0" borderId="4" xfId="0" applyFont="1" applyBorder="1" applyAlignment="1"/>
    <xf numFmtId="0" fontId="0" fillId="0" borderId="0" xfId="0" applyFont="1" applyFill="1" applyBorder="1" applyAlignment="1"/>
    <xf numFmtId="0" fontId="0" fillId="0" borderId="5" xfId="0" applyFont="1" applyBorder="1" applyAlignment="1"/>
    <xf numFmtId="0" fontId="0" fillId="0" borderId="5" xfId="0" applyFont="1" applyBorder="1"/>
    <xf numFmtId="0" fontId="0" fillId="0" borderId="0" xfId="0" applyFont="1" applyBorder="1" applyAlignment="1"/>
    <xf numFmtId="0" fontId="0" fillId="0" borderId="0" xfId="0" applyFont="1" applyBorder="1" applyAlignment="1">
      <alignment vertical="center"/>
    </xf>
  </cellXfs>
  <cellStyles count="2">
    <cellStyle name="God" xfId="1" builtinId="26"/>
    <cellStyle name="Normal" xfId="0" builtinId="0"/>
  </cellStyles>
  <dxfs count="113"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  <dxf>
      <font>
        <color theme="2"/>
      </font>
      <numFmt numFmtId="2" formatCode="0.00"/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outlinePr summaryBelow="0" summaryRight="0"/>
  </sheetPr>
  <dimension ref="A1:AC195"/>
  <sheetViews>
    <sheetView tabSelected="1" zoomScaleNormal="100" workbookViewId="0">
      <pane xSplit="1" ySplit="8" topLeftCell="C81" activePane="bottomRight" state="frozen"/>
      <selection pane="topRight" activeCell="B1" sqref="B1"/>
      <selection pane="bottomLeft" activeCell="A3" sqref="A3"/>
      <selection pane="bottomRight" activeCell="S116" sqref="S116"/>
    </sheetView>
  </sheetViews>
  <sheetFormatPr defaultColWidth="9.140625" defaultRowHeight="15" outlineLevelRow="2" outlineLevelCol="1" x14ac:dyDescent="0.25"/>
  <cols>
    <col min="1" max="1" width="18.5703125" style="6" customWidth="1"/>
    <col min="2" max="2" width="16.7109375" style="16" customWidth="1"/>
    <col min="3" max="4" width="16.85546875" style="16" customWidth="1"/>
    <col min="5" max="5" width="16.85546875" style="25" customWidth="1"/>
    <col min="6" max="7" width="14.42578125" style="16" customWidth="1"/>
    <col min="8" max="8" width="13.5703125" style="25" customWidth="1" collapsed="1"/>
    <col min="9" max="9" width="5.85546875" hidden="1" customWidth="1" outlineLevel="1"/>
    <col min="10" max="10" width="9.140625" style="6" hidden="1" customWidth="1" outlineLevel="1"/>
    <col min="11" max="11" width="4.42578125" style="6" hidden="1" customWidth="1" outlineLevel="1"/>
    <col min="12" max="12" width="5" style="6" hidden="1" customWidth="1" outlineLevel="1"/>
    <col min="13" max="13" width="3" style="6" hidden="1" customWidth="1" outlineLevel="1"/>
    <col min="14" max="14" width="2.28515625" style="6" hidden="1" customWidth="1" outlineLevel="1"/>
    <col min="15" max="15" width="3.42578125" style="6" hidden="1" customWidth="1" outlineLevel="1"/>
    <col min="16" max="16" width="3.140625" style="6" hidden="1" customWidth="1" outlineLevel="1"/>
    <col min="17" max="17" width="3.42578125" style="6" hidden="1" customWidth="1" outlineLevel="1"/>
    <col min="18" max="18" width="3.5703125" style="6" hidden="1" customWidth="1" outlineLevel="1"/>
    <col min="19" max="19" width="7.28515625" style="6" customWidth="1"/>
    <col min="20" max="20" width="20.85546875" style="6" customWidth="1"/>
    <col min="21" max="21" width="4.5703125" style="6" customWidth="1" outlineLevel="1"/>
    <col min="22" max="22" width="5.28515625" style="6" customWidth="1" outlineLevel="1"/>
    <col min="23" max="23" width="5.7109375" style="6" customWidth="1" outlineLevel="1"/>
    <col min="24" max="24" width="3.28515625" style="6" customWidth="1" outlineLevel="1"/>
    <col min="25" max="25" width="4.28515625" style="6" customWidth="1" outlineLevel="1"/>
    <col min="26" max="26" width="5.140625" style="6" customWidth="1" outlineLevel="1"/>
    <col min="27" max="27" width="10.140625" style="6" customWidth="1" outlineLevel="1"/>
    <col min="28" max="16384" width="9.140625" style="6"/>
  </cols>
  <sheetData>
    <row r="1" spans="1:28" hidden="1" x14ac:dyDescent="0.25">
      <c r="B1" s="16" t="s">
        <v>175</v>
      </c>
      <c r="F1" s="16" t="s">
        <v>180</v>
      </c>
      <c r="H1" s="25">
        <v>3</v>
      </c>
      <c r="J1" s="6" t="s">
        <v>188</v>
      </c>
    </row>
    <row r="2" spans="1:28" x14ac:dyDescent="0.25">
      <c r="A2" s="5"/>
      <c r="B2" s="14" t="s">
        <v>201</v>
      </c>
      <c r="C2" s="14" t="s">
        <v>200</v>
      </c>
      <c r="D2" s="14" t="s">
        <v>202</v>
      </c>
      <c r="E2" s="26" t="s">
        <v>203</v>
      </c>
      <c r="F2" s="14" t="s">
        <v>176</v>
      </c>
      <c r="G2" s="14" t="s">
        <v>199</v>
      </c>
      <c r="H2" s="26" t="s">
        <v>177</v>
      </c>
      <c r="J2" s="45" t="s">
        <v>20</v>
      </c>
      <c r="K2" s="45" t="s">
        <v>15</v>
      </c>
      <c r="L2" s="45" t="s">
        <v>16</v>
      </c>
      <c r="M2" s="45" t="s">
        <v>187</v>
      </c>
    </row>
    <row r="3" spans="1:28" x14ac:dyDescent="0.25">
      <c r="A3" s="5" t="s">
        <v>142</v>
      </c>
      <c r="B3" s="24">
        <v>3</v>
      </c>
      <c r="C3" s="24">
        <v>4</v>
      </c>
      <c r="D3" s="14">
        <v>7</v>
      </c>
      <c r="E3" s="26">
        <v>8</v>
      </c>
      <c r="F3" s="24">
        <v>1</v>
      </c>
      <c r="G3" s="24">
        <v>3</v>
      </c>
      <c r="H3" s="44">
        <v>1</v>
      </c>
      <c r="I3" t="s">
        <v>79</v>
      </c>
      <c r="J3" s="6" t="s">
        <v>185</v>
      </c>
      <c r="K3" s="6">
        <f>12/(wound(H1,F3,F4,F5,F6,8,"3+",12)*184)</f>
        <v>5.0310559006211168E-2</v>
      </c>
    </row>
    <row r="4" spans="1:28" x14ac:dyDescent="0.25">
      <c r="A4" s="5" t="s">
        <v>19</v>
      </c>
      <c r="B4" s="14" t="s">
        <v>103</v>
      </c>
      <c r="C4" s="14" t="s">
        <v>2</v>
      </c>
      <c r="D4" s="14" t="s">
        <v>2</v>
      </c>
      <c r="E4" s="26" t="s">
        <v>204</v>
      </c>
      <c r="F4" s="24">
        <v>9</v>
      </c>
      <c r="G4" s="24">
        <v>5</v>
      </c>
      <c r="H4" s="44">
        <v>4</v>
      </c>
      <c r="I4" t="s">
        <v>14</v>
      </c>
      <c r="J4" s="6" t="s">
        <v>186</v>
      </c>
      <c r="K4" s="6">
        <f>10/(wound(H1,H3,H4,H5,H6,3,"5+",1)*40)</f>
        <v>0.84375</v>
      </c>
    </row>
    <row r="5" spans="1:28" x14ac:dyDescent="0.25">
      <c r="A5" s="5" t="s">
        <v>143</v>
      </c>
      <c r="B5" s="24">
        <v>5</v>
      </c>
      <c r="C5" s="24">
        <v>0</v>
      </c>
      <c r="D5" s="14"/>
      <c r="E5" s="26"/>
      <c r="F5" s="24">
        <v>-3</v>
      </c>
      <c r="G5" s="24">
        <v>-1</v>
      </c>
      <c r="H5" s="44">
        <v>0</v>
      </c>
      <c r="I5" t="s">
        <v>28</v>
      </c>
      <c r="K5" s="6">
        <v>0.2</v>
      </c>
    </row>
    <row r="6" spans="1:28" x14ac:dyDescent="0.25">
      <c r="A6" s="5" t="s">
        <v>144</v>
      </c>
      <c r="B6" s="24">
        <v>1</v>
      </c>
      <c r="C6" s="24">
        <v>1</v>
      </c>
      <c r="D6" s="14">
        <v>12</v>
      </c>
      <c r="E6" s="26">
        <v>8</v>
      </c>
      <c r="F6" s="24">
        <v>3.5</v>
      </c>
      <c r="G6" s="24">
        <v>1</v>
      </c>
      <c r="H6" s="44">
        <v>1</v>
      </c>
      <c r="I6" t="s">
        <v>29</v>
      </c>
    </row>
    <row r="7" spans="1:28" hidden="1" x14ac:dyDescent="0.25">
      <c r="A7" s="5" t="s">
        <v>145</v>
      </c>
      <c r="B7" s="14"/>
      <c r="C7" s="14"/>
      <c r="D7" s="14"/>
      <c r="E7" s="26"/>
      <c r="F7" s="14"/>
      <c r="G7" s="14"/>
      <c r="H7" s="26"/>
    </row>
    <row r="8" spans="1:28" hidden="1" collapsed="1" x14ac:dyDescent="0.25">
      <c r="A8" s="5"/>
      <c r="B8" s="14">
        <v>4</v>
      </c>
      <c r="C8" s="14">
        <v>3</v>
      </c>
      <c r="D8" s="14">
        <v>3</v>
      </c>
      <c r="E8" s="26"/>
      <c r="F8" s="14"/>
      <c r="G8" s="14"/>
      <c r="H8" s="26"/>
      <c r="I8" t="s">
        <v>182</v>
      </c>
      <c r="J8" s="6" t="s">
        <v>11</v>
      </c>
      <c r="K8" s="6" t="s">
        <v>12</v>
      </c>
      <c r="L8" s="6" t="s">
        <v>13</v>
      </c>
      <c r="M8" s="6" t="s">
        <v>14</v>
      </c>
      <c r="N8" s="6" t="s">
        <v>15</v>
      </c>
      <c r="O8" s="6" t="s">
        <v>16</v>
      </c>
      <c r="P8" s="6" t="s">
        <v>17</v>
      </c>
      <c r="Q8" s="6" t="s">
        <v>18</v>
      </c>
      <c r="R8" s="6" t="s">
        <v>24</v>
      </c>
      <c r="S8" s="6" t="s">
        <v>56</v>
      </c>
      <c r="T8" s="6" t="s">
        <v>25</v>
      </c>
      <c r="U8" s="6" t="s">
        <v>26</v>
      </c>
      <c r="V8" s="6" t="s">
        <v>90</v>
      </c>
      <c r="W8" s="6" t="s">
        <v>27</v>
      </c>
      <c r="X8" s="6" t="s">
        <v>14</v>
      </c>
      <c r="Y8" s="6" t="s">
        <v>28</v>
      </c>
      <c r="Z8" s="6" t="s">
        <v>29</v>
      </c>
      <c r="AA8" s="6" t="s">
        <v>30</v>
      </c>
      <c r="AB8" s="6" t="s">
        <v>38</v>
      </c>
    </row>
    <row r="9" spans="1:28" s="36" customFormat="1" hidden="1" outlineLevel="1" collapsed="1" x14ac:dyDescent="0.25">
      <c r="A9" s="40" t="s">
        <v>57</v>
      </c>
      <c r="B9" s="49">
        <f>SUM(B10:B13)/$AB9*100</f>
        <v>4.5724737082761768</v>
      </c>
      <c r="C9" s="49">
        <f>SUM(C10:C13)/$AB9*100</f>
        <v>2.3319615912208507</v>
      </c>
      <c r="D9" s="49">
        <f>SUM(D10:D13)/$AB9*100</f>
        <v>1.2802926383173296</v>
      </c>
      <c r="E9" s="53">
        <f>SUM(E10:E13)/$AB9*100</f>
        <v>1.0516689529035208</v>
      </c>
      <c r="F9" s="34">
        <f>$I9*$O9/(wound($H$1,F$3,F$4,F$5,F$6,$N9,$R9,$O9)*$AB9)/$K$3</f>
        <v>2.6502057613168728</v>
      </c>
      <c r="G9" s="34">
        <f>$I9*$O9/(wound($H$1,G$3,G$4,G$5,G$6,$N9,$R9,$O9)*$AB9)/$K$5</f>
        <v>0.46296296296296291</v>
      </c>
      <c r="H9" s="35">
        <f>$I9*$O9/(wound($H$1,H$3,H$4,H$5,H$6,$N9,$R9,$O9)*$AB9)/$K$4</f>
        <v>0.65843621399176955</v>
      </c>
      <c r="I9">
        <v>10</v>
      </c>
      <c r="J9" s="40" t="s">
        <v>7</v>
      </c>
      <c r="K9" s="40" t="s">
        <v>2</v>
      </c>
      <c r="L9" s="40">
        <v>3</v>
      </c>
      <c r="M9" s="40">
        <v>4</v>
      </c>
      <c r="N9" s="40">
        <v>4</v>
      </c>
      <c r="O9" s="40">
        <v>1</v>
      </c>
      <c r="P9" s="40">
        <v>1</v>
      </c>
      <c r="Q9" s="40">
        <v>7</v>
      </c>
      <c r="R9" s="40" t="s">
        <v>2</v>
      </c>
      <c r="AB9" s="40">
        <f>70+S10*20+S11*20+S12*10+(S13-1)*13</f>
        <v>162</v>
      </c>
    </row>
    <row r="10" spans="1:28" hidden="1" outlineLevel="2" x14ac:dyDescent="0.25">
      <c r="B10" s="17">
        <f>wound($L10,$V10,$X10,$Y10,$Z10,B$3,B$4,B$6)*$S10</f>
        <v>0</v>
      </c>
      <c r="C10" s="17">
        <f>wound($L10,$V10,$X10,$Y10,$Z10,C$3,C$4,C$6)*$S10</f>
        <v>0</v>
      </c>
      <c r="D10" s="17">
        <f>wound($L10,$V10,$X10,$Y10,$Z10,D$3,D$4,D$6)*$S10</f>
        <v>0</v>
      </c>
      <c r="E10" s="28">
        <f>wound($L10,$V10,$X10,$Y10,$Z10,E$3,E$4,E$6)*$S10</f>
        <v>0</v>
      </c>
      <c r="F10" s="6"/>
      <c r="G10" s="6"/>
      <c r="H10" s="56"/>
      <c r="L10" s="6">
        <v>3</v>
      </c>
      <c r="S10" s="9">
        <v>0</v>
      </c>
      <c r="T10" s="7" t="s">
        <v>21</v>
      </c>
      <c r="U10" s="7" t="s">
        <v>22</v>
      </c>
      <c r="V10" s="7">
        <v>3.5</v>
      </c>
      <c r="W10" s="7"/>
      <c r="X10" s="7">
        <v>4</v>
      </c>
      <c r="Y10" s="7">
        <v>0</v>
      </c>
      <c r="Z10" s="7">
        <v>1</v>
      </c>
      <c r="AA10" s="7" t="s">
        <v>4</v>
      </c>
    </row>
    <row r="11" spans="1:28" hidden="1" outlineLevel="2" x14ac:dyDescent="0.25">
      <c r="A11" s="5"/>
      <c r="B11" s="17">
        <f t="shared" ref="B11" si="0">wound($L11,$V11,$X11,$Y11,$Z11,B$3,B$4,B$6)*$S11</f>
        <v>0</v>
      </c>
      <c r="C11" s="17">
        <f t="shared" ref="C11:E13" si="1">wound($L11,$V11,$X11,$Y11,$Z11,C$3,C$4,C$6)*$S11</f>
        <v>0</v>
      </c>
      <c r="D11" s="17">
        <f t="shared" si="1"/>
        <v>0</v>
      </c>
      <c r="E11" s="28">
        <f t="shared" si="1"/>
        <v>0</v>
      </c>
      <c r="F11" s="17"/>
      <c r="G11" s="17"/>
      <c r="H11" s="28"/>
      <c r="L11" s="7">
        <v>3</v>
      </c>
      <c r="S11" s="10"/>
      <c r="T11" s="7" t="s">
        <v>23</v>
      </c>
      <c r="U11" s="7" t="s">
        <v>22</v>
      </c>
      <c r="V11" s="7">
        <v>1</v>
      </c>
      <c r="W11" s="7"/>
      <c r="X11" s="7">
        <v>8</v>
      </c>
      <c r="Y11" s="7">
        <v>-2</v>
      </c>
      <c r="Z11" s="7">
        <v>3.5</v>
      </c>
      <c r="AA11" s="7" t="s">
        <v>4</v>
      </c>
    </row>
    <row r="12" spans="1:28" hidden="1" outlineLevel="2" x14ac:dyDescent="0.25">
      <c r="A12" s="5"/>
      <c r="B12" s="17">
        <f>wound($L12,$V12,$X12,$Y12,$Z12,B$3,B$4,B$6)*$S12</f>
        <v>4.4444444444444438</v>
      </c>
      <c r="C12" s="17">
        <f t="shared" si="1"/>
        <v>2.6666666666666665</v>
      </c>
      <c r="D12" s="17">
        <f t="shared" si="1"/>
        <v>1.3333333333333333</v>
      </c>
      <c r="E12" s="28">
        <f t="shared" si="1"/>
        <v>1.3333333333333333</v>
      </c>
      <c r="F12" s="17"/>
      <c r="G12" s="17"/>
      <c r="H12" s="28"/>
      <c r="L12" s="7">
        <v>3</v>
      </c>
      <c r="S12" s="10">
        <v>4</v>
      </c>
      <c r="T12" s="7" t="s">
        <v>45</v>
      </c>
      <c r="U12" s="7" t="s">
        <v>46</v>
      </c>
      <c r="V12" s="7">
        <v>3</v>
      </c>
      <c r="X12" s="7">
        <v>5</v>
      </c>
      <c r="Y12" s="7">
        <v>-1</v>
      </c>
      <c r="Z12" s="7">
        <v>1</v>
      </c>
      <c r="AA12" s="7"/>
    </row>
    <row r="13" spans="1:28" hidden="1" outlineLevel="2" x14ac:dyDescent="0.25">
      <c r="A13" s="8"/>
      <c r="B13" s="17">
        <f>wound($L13,$V13,$X13,$Y13,$Z13,B$3,B$4,B$6)*$S13</f>
        <v>2.9629629629629628</v>
      </c>
      <c r="C13" s="17">
        <f t="shared" si="1"/>
        <v>1.1111111111111112</v>
      </c>
      <c r="D13" s="17">
        <f t="shared" si="1"/>
        <v>0.7407407407407407</v>
      </c>
      <c r="E13" s="28">
        <f t="shared" si="1"/>
        <v>0.37037037037037035</v>
      </c>
      <c r="F13" s="17"/>
      <c r="G13" s="17"/>
      <c r="H13" s="28"/>
      <c r="J13" s="8"/>
      <c r="K13" s="8"/>
      <c r="L13" s="7">
        <v>3</v>
      </c>
      <c r="M13" s="8"/>
      <c r="N13" s="8"/>
      <c r="O13" s="8"/>
      <c r="P13" s="8"/>
      <c r="Q13" s="8"/>
      <c r="R13" s="8"/>
      <c r="S13" s="9">
        <v>5</v>
      </c>
      <c r="T13" s="7" t="s">
        <v>5</v>
      </c>
      <c r="U13" s="7" t="s">
        <v>6</v>
      </c>
      <c r="V13" s="6">
        <v>2</v>
      </c>
      <c r="W13" s="7" t="s">
        <v>58</v>
      </c>
      <c r="X13" s="7">
        <v>4</v>
      </c>
      <c r="Y13" s="7">
        <v>0</v>
      </c>
      <c r="Z13" s="7">
        <v>1</v>
      </c>
    </row>
    <row r="14" spans="1:28" s="36" customFormat="1" hidden="1" outlineLevel="1" collapsed="1" x14ac:dyDescent="0.25">
      <c r="A14" s="40" t="s">
        <v>31</v>
      </c>
      <c r="B14" s="46">
        <f>SUM(B15:B16)/$AB14*100</f>
        <v>5.0394656952034005</v>
      </c>
      <c r="C14" s="46">
        <f>SUM(C15:C16)/$AB14*100</f>
        <v>2.3679417122040074</v>
      </c>
      <c r="D14" s="46">
        <f>SUM(D15:D16)/$AB14*100</f>
        <v>1.2143290831815421</v>
      </c>
      <c r="E14" s="54">
        <f>SUM(E15:E16)/$AB14*100</f>
        <v>1.1536126290224651</v>
      </c>
      <c r="F14" s="34">
        <f>$I14*$O14/(wound($H$1,F$3,F$4,F$5,F$6,$N14,$R14,$O14)*$AB14)/$K$3</f>
        <v>1.2568306010928962</v>
      </c>
      <c r="G14" s="34">
        <f>$I14*$O14/(wound($H$1,G$3,G$4,G$5,G$6,$N14,$R14,$O14)*$AB14)/$K$5</f>
        <v>1.2295081967213115</v>
      </c>
      <c r="H14" s="35">
        <f>$I14*$O14/(wound($H$1,H$3,H$4,H$5,H$6,$N14,$R14,$O14)*$AB14)/$K$4</f>
        <v>1.3114754098360655</v>
      </c>
      <c r="I14">
        <v>1</v>
      </c>
      <c r="J14" s="40" t="s">
        <v>3</v>
      </c>
      <c r="K14" s="40" t="s">
        <v>32</v>
      </c>
      <c r="L14" s="40">
        <v>3</v>
      </c>
      <c r="M14" s="40">
        <v>6</v>
      </c>
      <c r="N14" s="40">
        <v>7</v>
      </c>
      <c r="O14" s="40">
        <v>10</v>
      </c>
      <c r="P14" s="40">
        <v>3</v>
      </c>
      <c r="Q14" s="40">
        <v>8</v>
      </c>
      <c r="R14" s="40" t="s">
        <v>2</v>
      </c>
      <c r="S14" s="47"/>
      <c r="T14" s="40"/>
      <c r="U14" s="40"/>
      <c r="W14" s="40"/>
      <c r="X14" s="40"/>
      <c r="Y14" s="40"/>
      <c r="Z14" s="40"/>
      <c r="AB14" s="40">
        <v>122</v>
      </c>
    </row>
    <row r="15" spans="1:28" hidden="1" outlineLevel="2" x14ac:dyDescent="0.25">
      <c r="B15" s="17">
        <f t="shared" ref="B15:E16" si="2">wound($L15,$V15,$X15,$Y15,$Z15,B$3,B$4,B$6)*$S15</f>
        <v>0.59259259259259256</v>
      </c>
      <c r="C15" s="17">
        <f t="shared" si="2"/>
        <v>0.22222222222222221</v>
      </c>
      <c r="D15" s="17">
        <f t="shared" si="2"/>
        <v>0.14814814814814814</v>
      </c>
      <c r="E15" s="28">
        <f t="shared" si="2"/>
        <v>7.407407407407407E-2</v>
      </c>
      <c r="F15" s="15"/>
      <c r="G15" s="15"/>
      <c r="H15" s="27"/>
      <c r="L15" s="7">
        <v>3</v>
      </c>
      <c r="S15" s="9">
        <v>1</v>
      </c>
      <c r="T15" s="7" t="s">
        <v>33</v>
      </c>
      <c r="U15" s="7" t="s">
        <v>6</v>
      </c>
      <c r="V15" s="7">
        <v>2</v>
      </c>
      <c r="W15" s="7"/>
      <c r="X15" s="7">
        <v>4</v>
      </c>
      <c r="Y15" s="7">
        <v>0</v>
      </c>
      <c r="Z15" s="7">
        <v>1</v>
      </c>
      <c r="AA15" s="7" t="s">
        <v>4</v>
      </c>
    </row>
    <row r="16" spans="1:28" hidden="1" outlineLevel="2" x14ac:dyDescent="0.25">
      <c r="A16" s="5"/>
      <c r="B16" s="17">
        <f t="shared" si="2"/>
        <v>5.5555555555555562</v>
      </c>
      <c r="C16" s="17">
        <f t="shared" si="2"/>
        <v>2.6666666666666665</v>
      </c>
      <c r="D16" s="17">
        <f t="shared" si="2"/>
        <v>1.3333333333333333</v>
      </c>
      <c r="E16" s="28">
        <f t="shared" si="2"/>
        <v>1.3333333333333333</v>
      </c>
      <c r="F16" s="15"/>
      <c r="G16" s="15"/>
      <c r="H16" s="27"/>
      <c r="J16" s="5"/>
      <c r="L16" s="7">
        <v>3</v>
      </c>
      <c r="S16" s="10">
        <v>1</v>
      </c>
      <c r="T16" s="7" t="s">
        <v>34</v>
      </c>
      <c r="U16" s="7" t="s">
        <v>6</v>
      </c>
      <c r="V16" s="7">
        <v>12</v>
      </c>
      <c r="W16" s="7"/>
      <c r="X16" s="7">
        <v>6</v>
      </c>
      <c r="Y16" s="7">
        <v>-1</v>
      </c>
      <c r="Z16" s="7">
        <v>1</v>
      </c>
      <c r="AA16" s="7" t="s">
        <v>4</v>
      </c>
      <c r="AB16" s="7"/>
    </row>
    <row r="17" spans="1:28" s="36" customFormat="1" hidden="1" outlineLevel="1" collapsed="1" x14ac:dyDescent="0.25">
      <c r="A17" s="40" t="s">
        <v>35</v>
      </c>
      <c r="B17" s="46">
        <f>SUM(B18:B20)/$AB17*100</f>
        <v>4.0257648953301128</v>
      </c>
      <c r="C17" s="46">
        <f>SUM(C18:C20)/$AB17*100</f>
        <v>1.9323671497584543</v>
      </c>
      <c r="D17" s="46">
        <f>SUM(D18:D20)/$AB17*100</f>
        <v>1.7391304347826086</v>
      </c>
      <c r="E17" s="54">
        <f>SUM(E18:E20)/$AB17*100</f>
        <v>1.3526570048309177</v>
      </c>
      <c r="F17" s="34">
        <f>$I17*$O17/(wound($H$1,F$3,F$4,F$5,F$6,$N17,$R17,$O17)*$AB17)/$K$3</f>
        <v>1.0666666666666667</v>
      </c>
      <c r="G17" s="34">
        <f>$I17*$O17/(wound($H$1,G$3,G$4,G$5,G$6,$N17,$R17,$O17)*$AB17)/$K$5</f>
        <v>1.0434782608695652</v>
      </c>
      <c r="H17" s="35">
        <f>$I17*$O17/(wound($H$1,H$3,H$4,H$5,H$6,$N17,$R17,$O17)*$AB17)/$K$4</f>
        <v>1.1130434782608698</v>
      </c>
      <c r="I17">
        <v>1</v>
      </c>
      <c r="J17" s="40" t="s">
        <v>7</v>
      </c>
      <c r="K17" s="40" t="s">
        <v>2</v>
      </c>
      <c r="L17" s="40">
        <v>3</v>
      </c>
      <c r="M17" s="40">
        <v>6</v>
      </c>
      <c r="N17" s="40">
        <v>7</v>
      </c>
      <c r="O17" s="40">
        <v>8</v>
      </c>
      <c r="P17" s="40">
        <v>4</v>
      </c>
      <c r="Q17" s="40">
        <v>8</v>
      </c>
      <c r="R17" s="40" t="s">
        <v>2</v>
      </c>
      <c r="S17" s="48"/>
      <c r="T17" s="40"/>
      <c r="U17" s="40"/>
      <c r="V17" s="40"/>
      <c r="W17" s="40"/>
      <c r="X17" s="40"/>
      <c r="Y17" s="40"/>
      <c r="Z17" s="40"/>
      <c r="AA17" s="40"/>
      <c r="AB17" s="40">
        <v>115</v>
      </c>
    </row>
    <row r="18" spans="1:28" hidden="1" outlineLevel="2" x14ac:dyDescent="0.25">
      <c r="B18" s="17">
        <f>wound($L18,$V18,$X18,$Y18,$Z18,B$3,B$4,B$6)*$S18</f>
        <v>2.7777777777777781</v>
      </c>
      <c r="C18" s="17">
        <f>wound($L18,$V18,$X18,$Y18,$Z18,C$3,C$4,C$6)*$S18</f>
        <v>1.3333333333333333</v>
      </c>
      <c r="D18" s="17">
        <f>wound($L18,$V18,$X18,$Y18,$Z18,D$3,D$4,D$6)*$S18</f>
        <v>0.66666666666666663</v>
      </c>
      <c r="E18" s="28">
        <f>wound($L18,$V18,$X18,$Y18,$Z18,E$3,E$4,E$6)*$S18</f>
        <v>0.66666666666666663</v>
      </c>
      <c r="F18" s="15"/>
      <c r="G18" s="15"/>
      <c r="H18" s="27"/>
      <c r="L18" s="7">
        <v>3</v>
      </c>
      <c r="S18" s="9">
        <v>1</v>
      </c>
      <c r="T18" s="7" t="s">
        <v>36</v>
      </c>
      <c r="U18" s="7" t="s">
        <v>6</v>
      </c>
      <c r="V18" s="7">
        <v>6</v>
      </c>
      <c r="W18" s="7"/>
      <c r="X18" s="7">
        <v>6</v>
      </c>
      <c r="Y18" s="7">
        <v>-1</v>
      </c>
      <c r="Z18" s="7">
        <v>1</v>
      </c>
      <c r="AA18" s="7" t="s">
        <v>4</v>
      </c>
    </row>
    <row r="19" spans="1:28" hidden="1" outlineLevel="2" x14ac:dyDescent="0.25">
      <c r="A19" s="7"/>
      <c r="B19" s="17">
        <f t="shared" ref="B19:B20" si="3">wound($L19,$V19,$X19,$Y19,$Z19,B$3,B$4,B$6)*$S19</f>
        <v>0</v>
      </c>
      <c r="C19" s="17">
        <f t="shared" ref="C19:E20" si="4">wound($L19,$V19,$X19,$Y19,$Z19,C$3,C$4,C$6)*$S19</f>
        <v>0</v>
      </c>
      <c r="D19" s="17">
        <f t="shared" si="4"/>
        <v>0</v>
      </c>
      <c r="E19" s="28">
        <f t="shared" si="4"/>
        <v>0</v>
      </c>
      <c r="F19" s="15"/>
      <c r="G19" s="15"/>
      <c r="H19" s="27"/>
      <c r="J19" s="7"/>
      <c r="K19" s="7"/>
      <c r="L19" s="7">
        <v>3</v>
      </c>
      <c r="M19" s="7"/>
      <c r="N19" s="7"/>
      <c r="O19" s="7"/>
      <c r="P19" s="7"/>
      <c r="Q19" s="7"/>
      <c r="R19" s="7"/>
      <c r="S19" s="9"/>
      <c r="T19" s="7"/>
      <c r="U19" s="7"/>
      <c r="V19" s="7"/>
      <c r="W19" s="7"/>
      <c r="X19" s="7"/>
      <c r="Y19" s="7"/>
      <c r="Z19" s="7"/>
      <c r="AA19" s="7"/>
      <c r="AB19" s="7"/>
    </row>
    <row r="20" spans="1:28" hidden="1" outlineLevel="2" x14ac:dyDescent="0.25">
      <c r="A20" s="5"/>
      <c r="B20" s="17">
        <f t="shared" si="3"/>
        <v>1.8518518518518519</v>
      </c>
      <c r="C20" s="17">
        <f t="shared" si="4"/>
        <v>0.88888888888888884</v>
      </c>
      <c r="D20" s="17">
        <f t="shared" si="4"/>
        <v>1.3333333333333333</v>
      </c>
      <c r="E20" s="28">
        <f t="shared" si="4"/>
        <v>0.88888888888888884</v>
      </c>
      <c r="F20" s="15"/>
      <c r="G20" s="15"/>
      <c r="H20" s="27"/>
      <c r="L20" s="7">
        <v>3</v>
      </c>
      <c r="S20" s="10">
        <v>1</v>
      </c>
      <c r="T20" s="7" t="s">
        <v>37</v>
      </c>
      <c r="U20" s="7" t="s">
        <v>22</v>
      </c>
      <c r="V20" s="7">
        <v>4</v>
      </c>
      <c r="W20" s="7"/>
      <c r="X20" s="7">
        <v>7</v>
      </c>
      <c r="Y20" s="7">
        <v>-1</v>
      </c>
      <c r="Z20" s="7">
        <v>2</v>
      </c>
      <c r="AA20" s="7" t="s">
        <v>4</v>
      </c>
    </row>
    <row r="21" spans="1:28" s="36" customFormat="1" hidden="1" outlineLevel="1" collapsed="1" x14ac:dyDescent="0.25">
      <c r="A21" s="40" t="s">
        <v>72</v>
      </c>
      <c r="B21" s="46">
        <f>SUM(B22:B25)/$AB21*100</f>
        <v>3.530092592592593</v>
      </c>
      <c r="C21" s="46">
        <f>SUM(C22:C25)/$AB21*100</f>
        <v>1.5625</v>
      </c>
      <c r="D21" s="46">
        <f>SUM(D22:D25)/$AB21*100</f>
        <v>1.0931069958847734</v>
      </c>
      <c r="E21" s="54">
        <f>SUM(E22:E25)/$AB21*100</f>
        <v>0.84555041152263377</v>
      </c>
      <c r="F21" s="34">
        <f>$I21*$O21/(wound($H$1,F$3,F$4,F$5,F$6,$N21,$R21,$O21)*$AB21)/$K$3</f>
        <v>1.0648148148148151</v>
      </c>
      <c r="G21" s="34">
        <f>$I21*$O21/(wound($H$1,G$3,G$4,G$5,G$6,$N21,$R21,$O21)*$AB21)/$K$5</f>
        <v>1.25</v>
      </c>
      <c r="H21" s="35">
        <f>$I21*$O21/(wound($H$1,H$3,H$4,H$5,H$6,$N21,$R21,$O21)*$AB21)/$K$4</f>
        <v>3.5555555555555554</v>
      </c>
      <c r="I21">
        <v>1</v>
      </c>
      <c r="J21" s="40">
        <v>10</v>
      </c>
      <c r="K21" s="40" t="s">
        <v>32</v>
      </c>
      <c r="L21" s="40">
        <v>3</v>
      </c>
      <c r="M21" s="40">
        <v>8</v>
      </c>
      <c r="N21" s="40">
        <v>8</v>
      </c>
      <c r="O21" s="40">
        <v>16</v>
      </c>
      <c r="P21" s="40">
        <v>6</v>
      </c>
      <c r="Q21" s="40">
        <v>9</v>
      </c>
      <c r="R21" s="40" t="s">
        <v>1</v>
      </c>
      <c r="S21" s="48"/>
      <c r="T21" s="40"/>
      <c r="U21" s="40"/>
      <c r="V21" s="40"/>
      <c r="W21" s="40"/>
      <c r="X21" s="40"/>
      <c r="Y21" s="40"/>
      <c r="Z21" s="40"/>
      <c r="AA21" s="40"/>
      <c r="AB21" s="40">
        <v>288</v>
      </c>
    </row>
    <row r="22" spans="1:28" hidden="1" outlineLevel="2" x14ac:dyDescent="0.25">
      <c r="B22" s="17">
        <f t="shared" ref="B22:E25" si="5">wound($L22,$V22,$X22,$Y22,$Z22,B$3,B$4,B$6)*$S22</f>
        <v>3.5555555555555554</v>
      </c>
      <c r="C22" s="17">
        <f t="shared" si="5"/>
        <v>1.3333333333333333</v>
      </c>
      <c r="D22" s="17">
        <f t="shared" si="5"/>
        <v>0.88888888888888884</v>
      </c>
      <c r="E22" s="28">
        <f t="shared" si="5"/>
        <v>0.44444444444444442</v>
      </c>
      <c r="F22" s="15"/>
      <c r="G22" s="15"/>
      <c r="H22" s="27"/>
      <c r="L22" s="7">
        <v>3</v>
      </c>
      <c r="S22" s="9">
        <v>2</v>
      </c>
      <c r="T22" s="7" t="s">
        <v>39</v>
      </c>
      <c r="U22" s="7" t="s">
        <v>6</v>
      </c>
      <c r="V22" s="7">
        <v>6</v>
      </c>
      <c r="W22" s="7"/>
      <c r="X22" s="7">
        <v>4</v>
      </c>
      <c r="Y22" s="7">
        <v>0</v>
      </c>
      <c r="Z22" s="7">
        <v>1</v>
      </c>
      <c r="AA22" s="7" t="s">
        <v>4</v>
      </c>
    </row>
    <row r="23" spans="1:28" hidden="1" outlineLevel="2" x14ac:dyDescent="0.25">
      <c r="A23" s="8"/>
      <c r="B23" s="17">
        <f t="shared" si="5"/>
        <v>0.46296296296296297</v>
      </c>
      <c r="C23" s="17">
        <f t="shared" si="5"/>
        <v>0.27777777777777779</v>
      </c>
      <c r="D23" s="17">
        <f t="shared" si="5"/>
        <v>0.77777777777777768</v>
      </c>
      <c r="E23" s="28">
        <f t="shared" si="5"/>
        <v>0.58333333333333326</v>
      </c>
      <c r="F23" s="15"/>
      <c r="G23" s="15"/>
      <c r="H23" s="27"/>
      <c r="J23" s="8"/>
      <c r="K23" s="8"/>
      <c r="L23" s="7">
        <v>3</v>
      </c>
      <c r="M23" s="8"/>
      <c r="N23" s="8"/>
      <c r="O23" s="8"/>
      <c r="P23" s="8"/>
      <c r="Q23" s="8"/>
      <c r="R23" s="8"/>
      <c r="S23" s="9">
        <v>1</v>
      </c>
      <c r="T23" s="7" t="s">
        <v>40</v>
      </c>
      <c r="U23" s="7" t="s">
        <v>6</v>
      </c>
      <c r="V23" s="7">
        <v>1</v>
      </c>
      <c r="W23" s="7"/>
      <c r="X23" s="7">
        <v>8</v>
      </c>
      <c r="Y23" s="7">
        <v>-1</v>
      </c>
      <c r="Z23" s="7">
        <v>3.5</v>
      </c>
      <c r="AA23" s="7" t="s">
        <v>9</v>
      </c>
      <c r="AB23" s="7"/>
    </row>
    <row r="24" spans="1:28" hidden="1" outlineLevel="2" x14ac:dyDescent="0.25">
      <c r="A24" s="7"/>
      <c r="B24" s="17">
        <f t="shared" si="5"/>
        <v>0.59259259259259256</v>
      </c>
      <c r="C24" s="17">
        <f t="shared" si="5"/>
        <v>0.22222222222222221</v>
      </c>
      <c r="D24" s="17">
        <f t="shared" si="5"/>
        <v>0.14814814814814814</v>
      </c>
      <c r="E24" s="28">
        <f t="shared" si="5"/>
        <v>7.407407407407407E-2</v>
      </c>
      <c r="F24" s="15"/>
      <c r="G24" s="15"/>
      <c r="H24" s="27"/>
      <c r="J24" s="7"/>
      <c r="K24" s="7"/>
      <c r="L24" s="7">
        <v>3</v>
      </c>
      <c r="M24" s="7"/>
      <c r="N24" s="7"/>
      <c r="O24" s="7"/>
      <c r="P24" s="7"/>
      <c r="Q24" s="7"/>
      <c r="R24" s="7"/>
      <c r="S24" s="9">
        <v>1</v>
      </c>
      <c r="T24" s="7" t="s">
        <v>33</v>
      </c>
      <c r="U24" s="7" t="s">
        <v>6</v>
      </c>
      <c r="V24" s="7">
        <v>2</v>
      </c>
      <c r="W24" s="7"/>
      <c r="X24" s="7">
        <v>4</v>
      </c>
      <c r="Y24" s="7">
        <v>0</v>
      </c>
      <c r="Z24" s="7">
        <v>1</v>
      </c>
      <c r="AA24" s="7" t="s">
        <v>4</v>
      </c>
      <c r="AB24" s="7"/>
    </row>
    <row r="25" spans="1:28" hidden="1" outlineLevel="2" x14ac:dyDescent="0.25">
      <c r="A25" s="5"/>
      <c r="B25" s="17">
        <f t="shared" si="5"/>
        <v>5.5555555555555562</v>
      </c>
      <c r="C25" s="17">
        <f t="shared" si="5"/>
        <v>2.6666666666666665</v>
      </c>
      <c r="D25" s="17">
        <f t="shared" si="5"/>
        <v>1.3333333333333333</v>
      </c>
      <c r="E25" s="28">
        <f t="shared" si="5"/>
        <v>1.3333333333333333</v>
      </c>
      <c r="F25" s="15"/>
      <c r="G25" s="15"/>
      <c r="H25" s="27"/>
      <c r="L25" s="7">
        <v>3</v>
      </c>
      <c r="S25" s="10">
        <v>1</v>
      </c>
      <c r="T25" s="7" t="s">
        <v>34</v>
      </c>
      <c r="U25" s="7" t="s">
        <v>6</v>
      </c>
      <c r="V25" s="7">
        <v>12</v>
      </c>
      <c r="W25" s="7"/>
      <c r="X25" s="7">
        <v>6</v>
      </c>
      <c r="Y25" s="7">
        <v>-1</v>
      </c>
      <c r="Z25" s="7">
        <v>1</v>
      </c>
      <c r="AA25" s="7" t="s">
        <v>4</v>
      </c>
    </row>
    <row r="26" spans="1:28" s="36" customFormat="1" hidden="1" outlineLevel="1" collapsed="1" x14ac:dyDescent="0.25">
      <c r="A26" s="40" t="s">
        <v>41</v>
      </c>
      <c r="B26" s="46">
        <f>SUM(B27)/$AB26*100</f>
        <v>3.0501089324618742</v>
      </c>
      <c r="C26" s="46">
        <f>SUM(C27)/$AB26*100</f>
        <v>1.2200435729847494</v>
      </c>
      <c r="D26" s="46">
        <f>SUM(D27)/$AB26*100</f>
        <v>0.61002178649237471</v>
      </c>
      <c r="E26" s="54">
        <f>SUM(E27)/$AB26*100</f>
        <v>0.61002178649237471</v>
      </c>
      <c r="F26" s="34">
        <f>$I26*$O26/(wound($H$1,F$3,F$4,F$5,F$6,$N26,$R26,$O26)*$AB26)/$K$3</f>
        <v>1.9843137254901961</v>
      </c>
      <c r="G26" s="34">
        <f>$I26*$O26/(wound($H$1,G$3,G$4,G$5,G$6,$N26,$R26,$O26)*$AB26)/$K$5</f>
        <v>1.9411764705882353</v>
      </c>
      <c r="H26" s="35">
        <f>$I26*$O26/(wound($H$1,H$3,H$4,H$5,H$6,$N26,$R26,$O26)*$AB26)/$K$4</f>
        <v>2.0705882352941178</v>
      </c>
      <c r="I26">
        <v>1</v>
      </c>
      <c r="J26" s="40">
        <v>12</v>
      </c>
      <c r="K26" s="40" t="s">
        <v>32</v>
      </c>
      <c r="L26" s="40">
        <v>3</v>
      </c>
      <c r="M26" s="40">
        <v>6</v>
      </c>
      <c r="N26" s="40">
        <v>7</v>
      </c>
      <c r="O26" s="40">
        <v>11</v>
      </c>
      <c r="P26" s="40">
        <v>3</v>
      </c>
      <c r="Q26" s="40">
        <v>8</v>
      </c>
      <c r="R26" s="40" t="s">
        <v>2</v>
      </c>
      <c r="S26" s="48"/>
      <c r="T26" s="40"/>
      <c r="U26" s="40"/>
      <c r="V26" s="40"/>
      <c r="W26" s="40"/>
      <c r="X26" s="40"/>
      <c r="Y26" s="40"/>
      <c r="Z26" s="40"/>
      <c r="AA26" s="40"/>
      <c r="AB26" s="40">
        <v>85</v>
      </c>
    </row>
    <row r="27" spans="1:28" hidden="1" outlineLevel="2" x14ac:dyDescent="0.25">
      <c r="B27" s="17">
        <f>wound($L27,$V27,$X27,$Y27,$Z27,B$3,B$4,B$6)*$S27</f>
        <v>2.592592592592593</v>
      </c>
      <c r="C27" s="17">
        <f>wound($L27,$V27,$X27,$Y27,$Z27,C$3,C$4,C$6)*$S27</f>
        <v>1.037037037037037</v>
      </c>
      <c r="D27" s="17">
        <f>wound($L27,$V27,$X27,$Y27,$Z27,D$3,D$4,D$6)*$S27</f>
        <v>0.51851851851851849</v>
      </c>
      <c r="E27" s="28">
        <f>wound($L27,$V27,$X27,$Y27,$Z27,E$3,E$4,E$6)*$S27</f>
        <v>0.51851851851851849</v>
      </c>
      <c r="F27" s="15"/>
      <c r="G27" s="15"/>
      <c r="H27" s="27"/>
      <c r="L27" s="7">
        <v>3</v>
      </c>
      <c r="S27" s="9">
        <v>1</v>
      </c>
      <c r="T27" s="7" t="s">
        <v>42</v>
      </c>
      <c r="U27" s="7" t="s">
        <v>43</v>
      </c>
      <c r="V27" s="7">
        <v>7</v>
      </c>
      <c r="W27" s="7"/>
      <c r="X27" s="7">
        <v>6</v>
      </c>
      <c r="Y27" s="7">
        <v>0</v>
      </c>
      <c r="Z27" s="7">
        <v>1</v>
      </c>
    </row>
    <row r="28" spans="1:28" s="36" customFormat="1" hidden="1" outlineLevel="1" collapsed="1" x14ac:dyDescent="0.25">
      <c r="A28" s="40" t="s">
        <v>44</v>
      </c>
      <c r="B28" s="46">
        <f>SUM(B29:B30)/$AB28*100</f>
        <v>3.8888888888888888</v>
      </c>
      <c r="C28" s="46">
        <f>SUM(C29:C30)/$AB28*100</f>
        <v>2.2222222222222219</v>
      </c>
      <c r="D28" s="46">
        <f>SUM(D29:D30)/$AB28*100</f>
        <v>1.8888888888888886</v>
      </c>
      <c r="E28" s="54">
        <f>SUM(E29:E30)/$AB28*100</f>
        <v>1.5555555555555554</v>
      </c>
      <c r="F28" s="34">
        <f>$I28*$O28/(wound($H$1,F$3,F$4,F$5,F$6,$N28,$R28,$O28)*$AB28)/$K$3</f>
        <v>1.1244444444444444</v>
      </c>
      <c r="G28" s="34">
        <f>$I28*$O28/(wound($H$1,G$3,G$4,G$5,G$6,$N28,$R28,$O28)*$AB28)/$K$5</f>
        <v>1.0999999999999999</v>
      </c>
      <c r="H28" s="35">
        <f>$I28*$O28/(wound($H$1,H$3,H$4,H$5,H$6,$N28,$R28,$O28)*$AB28)/$K$4</f>
        <v>1.1733333333333333</v>
      </c>
      <c r="I28">
        <v>1</v>
      </c>
      <c r="J28" s="40">
        <v>12</v>
      </c>
      <c r="K28" s="40" t="s">
        <v>32</v>
      </c>
      <c r="L28" s="40">
        <v>3</v>
      </c>
      <c r="M28" s="40">
        <v>6</v>
      </c>
      <c r="N28" s="40">
        <v>7</v>
      </c>
      <c r="O28" s="40">
        <v>11</v>
      </c>
      <c r="P28" s="40">
        <v>3</v>
      </c>
      <c r="Q28" s="40">
        <v>8</v>
      </c>
      <c r="R28" s="40" t="s">
        <v>2</v>
      </c>
      <c r="S28" s="47"/>
      <c r="T28" s="40"/>
      <c r="U28" s="40"/>
      <c r="V28" s="40"/>
      <c r="W28" s="40"/>
      <c r="X28" s="40"/>
      <c r="Y28" s="40"/>
      <c r="Z28" s="40"/>
      <c r="AB28" s="40">
        <v>150</v>
      </c>
    </row>
    <row r="29" spans="1:28" hidden="1" outlineLevel="2" x14ac:dyDescent="0.25">
      <c r="B29" s="17">
        <f t="shared" ref="B29:E30" si="6">wound($L29,$V29,$X29,$Y29,$Z29,B$3,B$4,B$6)*$S29</f>
        <v>4.4444444444444438</v>
      </c>
      <c r="C29" s="17">
        <f t="shared" si="6"/>
        <v>2.6666666666666665</v>
      </c>
      <c r="D29" s="17">
        <f t="shared" si="6"/>
        <v>1.3333333333333333</v>
      </c>
      <c r="E29" s="28">
        <f t="shared" si="6"/>
        <v>1.3333333333333333</v>
      </c>
      <c r="F29" s="15"/>
      <c r="G29" s="15"/>
      <c r="H29" s="27"/>
      <c r="L29" s="7">
        <v>3</v>
      </c>
      <c r="S29" s="9">
        <v>2</v>
      </c>
      <c r="T29" s="7" t="s">
        <v>45</v>
      </c>
      <c r="U29" s="7" t="s">
        <v>46</v>
      </c>
      <c r="V29" s="7">
        <v>6</v>
      </c>
      <c r="W29" s="7"/>
      <c r="X29" s="7">
        <v>5</v>
      </c>
      <c r="Y29" s="7">
        <v>-1</v>
      </c>
      <c r="Z29" s="7">
        <v>1</v>
      </c>
      <c r="AA29" s="7" t="s">
        <v>4</v>
      </c>
    </row>
    <row r="30" spans="1:28" hidden="1" outlineLevel="2" x14ac:dyDescent="0.25">
      <c r="A30" s="7"/>
      <c r="B30" s="17">
        <f t="shared" si="6"/>
        <v>1.3888888888888891</v>
      </c>
      <c r="C30" s="17">
        <f t="shared" si="6"/>
        <v>0.66666666666666663</v>
      </c>
      <c r="D30" s="17">
        <f t="shared" si="6"/>
        <v>1.5</v>
      </c>
      <c r="E30" s="28">
        <f t="shared" si="6"/>
        <v>1</v>
      </c>
      <c r="F30" s="15"/>
      <c r="G30" s="15"/>
      <c r="H30" s="27"/>
      <c r="J30" s="7"/>
      <c r="K30" s="7"/>
      <c r="L30" s="7">
        <v>3</v>
      </c>
      <c r="M30" s="7"/>
      <c r="N30" s="7"/>
      <c r="O30" s="7"/>
      <c r="P30" s="7"/>
      <c r="Q30" s="7"/>
      <c r="R30" s="7"/>
      <c r="S30" s="9">
        <v>1</v>
      </c>
      <c r="T30" s="7" t="s">
        <v>47</v>
      </c>
      <c r="U30" s="7" t="s">
        <v>22</v>
      </c>
      <c r="V30" s="7">
        <v>3</v>
      </c>
      <c r="W30" s="7"/>
      <c r="X30" s="7">
        <v>7</v>
      </c>
      <c r="Y30" s="7">
        <v>-1</v>
      </c>
      <c r="Z30" s="7">
        <v>3</v>
      </c>
    </row>
    <row r="31" spans="1:28" s="36" customFormat="1" hidden="1" outlineLevel="1" collapsed="1" x14ac:dyDescent="0.25">
      <c r="A31" s="40" t="s">
        <v>55</v>
      </c>
      <c r="B31" s="46">
        <f>SUM(B32:B33)/$AB31*100</f>
        <v>3.1200897867564539</v>
      </c>
      <c r="C31" s="46">
        <f>SUM(C32:C33)/$AB31*100</f>
        <v>1.3468013468013469</v>
      </c>
      <c r="D31" s="46">
        <f>SUM(D32:D33)/$AB31*100</f>
        <v>0.76318742985409638</v>
      </c>
      <c r="E31" s="54">
        <f>SUM(E32:E33)/$AB31*100</f>
        <v>0.58361391694725029</v>
      </c>
      <c r="F31" s="34">
        <f>$I31*$O31/(wound($H$1,F$3,F$4,F$5,F$6,$N31,$R31,$O31)*$AB31)/$K$3</f>
        <v>1.6262626262626267</v>
      </c>
      <c r="G31" s="34">
        <f>$I31*$O31/(wound($H$1,G$3,G$4,G$5,G$6,$N31,$R31,$O31)*$AB31)/$K$5</f>
        <v>0.68181818181818188</v>
      </c>
      <c r="H31" s="35">
        <f>$I31*$O31/(wound($H$1,H$3,H$4,H$5,H$6,$N31,$R31,$O31)*$AB31)/$K$4</f>
        <v>1.292929292929293</v>
      </c>
      <c r="I31">
        <v>5</v>
      </c>
      <c r="J31" s="40" t="s">
        <v>0</v>
      </c>
      <c r="K31" s="40" t="s">
        <v>2</v>
      </c>
      <c r="L31" s="40">
        <v>3</v>
      </c>
      <c r="M31" s="40">
        <v>4</v>
      </c>
      <c r="N31" s="40">
        <v>4</v>
      </c>
      <c r="O31" s="40">
        <v>2</v>
      </c>
      <c r="P31" s="40">
        <v>2</v>
      </c>
      <c r="Q31" s="40">
        <v>8</v>
      </c>
      <c r="R31" s="40" t="s">
        <v>1</v>
      </c>
      <c r="S31" s="47"/>
      <c r="T31" s="40"/>
      <c r="U31" s="40"/>
      <c r="V31" s="40"/>
      <c r="W31" s="40"/>
      <c r="X31" s="40"/>
      <c r="Y31" s="40"/>
      <c r="Z31" s="40"/>
      <c r="AB31" s="40">
        <v>165</v>
      </c>
    </row>
    <row r="32" spans="1:28" hidden="1" outlineLevel="2" x14ac:dyDescent="0.25">
      <c r="B32" s="17">
        <f t="shared" ref="B32:E33" si="7">wound($L32,$V32,$X32,$Y32,$Z32,B$3,B$4,B$6)*$S32</f>
        <v>2.3703703703703702</v>
      </c>
      <c r="C32" s="17">
        <f t="shared" si="7"/>
        <v>0.88888888888888884</v>
      </c>
      <c r="D32" s="17">
        <f t="shared" si="7"/>
        <v>0.59259259259259256</v>
      </c>
      <c r="E32" s="28">
        <f t="shared" si="7"/>
        <v>0.29629629629629628</v>
      </c>
      <c r="F32" s="15"/>
      <c r="G32" s="15"/>
      <c r="H32" s="27"/>
      <c r="L32" s="7">
        <v>3</v>
      </c>
      <c r="S32" s="10">
        <v>4</v>
      </c>
      <c r="T32" s="7" t="s">
        <v>33</v>
      </c>
      <c r="U32" s="7" t="s">
        <v>6</v>
      </c>
      <c r="V32" s="7">
        <v>2</v>
      </c>
      <c r="W32" s="7" t="s">
        <v>58</v>
      </c>
      <c r="X32" s="7">
        <v>4</v>
      </c>
      <c r="Y32" s="7">
        <v>0</v>
      </c>
      <c r="Z32" s="7">
        <v>1</v>
      </c>
      <c r="AA32" s="7"/>
    </row>
    <row r="33" spans="1:28" hidden="1" outlineLevel="2" x14ac:dyDescent="0.25">
      <c r="B33" s="17">
        <f t="shared" si="7"/>
        <v>2.7777777777777781</v>
      </c>
      <c r="C33" s="17">
        <f t="shared" si="7"/>
        <v>1.3333333333333333</v>
      </c>
      <c r="D33" s="17">
        <f t="shared" si="7"/>
        <v>0.66666666666666663</v>
      </c>
      <c r="E33" s="28">
        <f t="shared" si="7"/>
        <v>0.66666666666666663</v>
      </c>
      <c r="F33" s="15"/>
      <c r="G33" s="15"/>
      <c r="H33" s="27"/>
      <c r="L33" s="7">
        <v>3</v>
      </c>
      <c r="S33" s="10">
        <v>1</v>
      </c>
      <c r="T33" s="7" t="s">
        <v>36</v>
      </c>
      <c r="U33" s="7" t="s">
        <v>6</v>
      </c>
      <c r="V33" s="7">
        <v>6</v>
      </c>
      <c r="W33" s="7"/>
      <c r="X33" s="7">
        <v>6</v>
      </c>
      <c r="Y33" s="7">
        <v>-1</v>
      </c>
      <c r="Z33" s="7">
        <v>1</v>
      </c>
      <c r="AA33" s="7"/>
      <c r="AB33" s="7"/>
    </row>
    <row r="34" spans="1:28" s="36" customFormat="1" hidden="1" outlineLevel="1" collapsed="1" x14ac:dyDescent="0.25">
      <c r="A34" s="40" t="s">
        <v>59</v>
      </c>
      <c r="B34" s="46">
        <f>SUM(B35:B37)/AB34*100</f>
        <v>1.0224308815858112</v>
      </c>
      <c r="C34" s="50">
        <f>SUM(C36:C37)/AB34*100</f>
        <v>0.56338028169014087</v>
      </c>
      <c r="D34" s="50">
        <f>SUM(D36:D37)/AB34*100</f>
        <v>3.1298904538341157</v>
      </c>
      <c r="E34" s="55">
        <f>SUM(E36:E37)/AB34*100</f>
        <v>1.6275430359937404</v>
      </c>
      <c r="F34" s="34">
        <f>$I34*$O34/(wound($H$1,F$3,F$4,F$5,F$6,$N34,$R34,$O34)*$AB34)/$K$3</f>
        <v>1.0258215962441317</v>
      </c>
      <c r="G34" s="34">
        <f>$I34*$O34/(wound($H$1,G$3,G$4,G$5,G$6,$N34,$R34,$O34)*$AB34)/$K$5</f>
        <v>1.204225352112676</v>
      </c>
      <c r="H34" s="35">
        <f>$I34*$O34/(wound($H$1,H$3,H$4,H$5,H$6,$N34,$R34,$O34)*$AB34)/$K$4</f>
        <v>3.4253521126760567</v>
      </c>
      <c r="I34">
        <v>1</v>
      </c>
      <c r="J34" s="40">
        <v>10</v>
      </c>
      <c r="K34" s="40" t="s">
        <v>32</v>
      </c>
      <c r="M34" s="40">
        <v>8</v>
      </c>
      <c r="N34" s="40">
        <v>8</v>
      </c>
      <c r="O34" s="40">
        <v>19</v>
      </c>
      <c r="P34" s="40">
        <v>6</v>
      </c>
      <c r="Q34" s="40">
        <v>9</v>
      </c>
      <c r="R34" s="40" t="s">
        <v>1</v>
      </c>
      <c r="S34" s="48"/>
      <c r="U34" s="40"/>
      <c r="V34" s="40"/>
      <c r="W34" s="40"/>
      <c r="X34" s="40"/>
      <c r="Y34" s="40"/>
      <c r="Z34" s="40"/>
      <c r="AA34" s="40"/>
      <c r="AB34" s="40">
        <v>355</v>
      </c>
    </row>
    <row r="35" spans="1:28" hidden="1" outlineLevel="2" x14ac:dyDescent="0.25">
      <c r="B35" s="17">
        <f t="shared" ref="B35:E37" si="8">wound($L35,$V35,$X35,$Y35,$Z35,B$3,B$4,B$6)*$S35</f>
        <v>0</v>
      </c>
      <c r="C35" s="17">
        <f t="shared" si="8"/>
        <v>0</v>
      </c>
      <c r="D35" s="17">
        <f t="shared" si="8"/>
        <v>0</v>
      </c>
      <c r="E35" s="28">
        <f t="shared" si="8"/>
        <v>0</v>
      </c>
      <c r="F35" s="15"/>
      <c r="G35" s="15"/>
      <c r="H35" s="27"/>
      <c r="L35" s="7">
        <v>3</v>
      </c>
      <c r="S35" s="12">
        <v>0</v>
      </c>
      <c r="T35" s="7" t="s">
        <v>60</v>
      </c>
      <c r="U35" s="7" t="s">
        <v>6</v>
      </c>
      <c r="V35" s="7">
        <v>4</v>
      </c>
      <c r="W35" s="7" t="s">
        <v>61</v>
      </c>
      <c r="X35" s="7">
        <v>8</v>
      </c>
      <c r="Y35" s="7">
        <v>-2</v>
      </c>
      <c r="Z35" s="7">
        <v>3</v>
      </c>
      <c r="AA35" s="7" t="s">
        <v>4</v>
      </c>
    </row>
    <row r="36" spans="1:28" hidden="1" outlineLevel="2" x14ac:dyDescent="0.25">
      <c r="B36" s="17">
        <f t="shared" si="8"/>
        <v>1.7777777777777777</v>
      </c>
      <c r="C36" s="17">
        <f t="shared" si="8"/>
        <v>0.88888888888888884</v>
      </c>
      <c r="D36" s="17">
        <f t="shared" si="8"/>
        <v>0.44444444444444442</v>
      </c>
      <c r="E36" s="28">
        <f t="shared" si="8"/>
        <v>0.44444444444444442</v>
      </c>
      <c r="F36" s="15"/>
      <c r="G36" s="15"/>
      <c r="H36" s="27"/>
      <c r="L36" s="7">
        <v>3</v>
      </c>
      <c r="S36" s="6">
        <v>1</v>
      </c>
      <c r="T36" s="7" t="s">
        <v>62</v>
      </c>
      <c r="U36" s="7" t="s">
        <v>63</v>
      </c>
      <c r="V36" s="11">
        <v>6</v>
      </c>
      <c r="W36" s="7" t="s">
        <v>64</v>
      </c>
      <c r="X36" s="7">
        <v>5</v>
      </c>
      <c r="Y36" s="7">
        <v>0</v>
      </c>
      <c r="Z36" s="7">
        <v>1</v>
      </c>
      <c r="AA36" s="7" t="s">
        <v>65</v>
      </c>
      <c r="AB36" s="7"/>
    </row>
    <row r="37" spans="1:28" hidden="1" outlineLevel="2" x14ac:dyDescent="0.25">
      <c r="B37" s="17">
        <f t="shared" si="8"/>
        <v>1.8518518518518519</v>
      </c>
      <c r="C37" s="17">
        <f t="shared" si="8"/>
        <v>1.1111111111111112</v>
      </c>
      <c r="D37" s="17">
        <f t="shared" si="8"/>
        <v>10.666666666666666</v>
      </c>
      <c r="E37" s="28">
        <f t="shared" si="8"/>
        <v>5.333333333333333</v>
      </c>
      <c r="F37" s="15"/>
      <c r="G37" s="15"/>
      <c r="H37" s="27"/>
      <c r="L37" s="7">
        <v>3</v>
      </c>
      <c r="S37" s="12">
        <v>2</v>
      </c>
      <c r="T37" s="7" t="s">
        <v>66</v>
      </c>
      <c r="U37" s="7" t="s">
        <v>6</v>
      </c>
      <c r="V37" s="7">
        <v>2</v>
      </c>
      <c r="W37" s="7" t="s">
        <v>67</v>
      </c>
      <c r="X37" s="7">
        <v>8</v>
      </c>
      <c r="Y37" s="7">
        <v>-1</v>
      </c>
      <c r="Z37" s="7" t="s">
        <v>8</v>
      </c>
      <c r="AA37" s="7" t="s">
        <v>68</v>
      </c>
      <c r="AB37" s="7"/>
    </row>
    <row r="38" spans="1:28" s="36" customFormat="1" hidden="1" outlineLevel="1" collapsed="1" x14ac:dyDescent="0.25">
      <c r="A38" s="36" t="s">
        <v>69</v>
      </c>
      <c r="B38" s="46">
        <f>SUM(B39:B43)/$AB38*100</f>
        <v>3.213346482577252</v>
      </c>
      <c r="C38" s="46">
        <f>SUM(C39:C43)/$AB38*100</f>
        <v>1.4546351084812621</v>
      </c>
      <c r="D38" s="46">
        <f>SUM(D39:D43)/$AB38*100</f>
        <v>1.0300241069471838</v>
      </c>
      <c r="E38" s="54">
        <f>SUM(E39:E43)/$AB38*100</f>
        <v>0.81908831908831892</v>
      </c>
      <c r="F38" s="34">
        <f>$I38*$O38/(wound($H$1,F$3,F$4,F$5,F$6,$N38,$R38,$O38)*$AB38)/$K$3</f>
        <v>0.90729783037475387</v>
      </c>
      <c r="G38" s="34">
        <f>$I38*$O38/(wound($H$1,G$3,G$4,G$5,G$6,$N38,$R38,$O38)*$AB38)/$K$5</f>
        <v>1.0650887573964498</v>
      </c>
      <c r="H38" s="35">
        <f>$I38*$O38/(wound($H$1,H$3,H$4,H$5,H$6,$N38,$R38,$O38)*$AB38)/$K$4</f>
        <v>3.0295857988165684</v>
      </c>
      <c r="I38">
        <v>1</v>
      </c>
      <c r="J38" s="36">
        <v>10</v>
      </c>
      <c r="K38" s="36">
        <v>6</v>
      </c>
      <c r="M38" s="36">
        <v>8</v>
      </c>
      <c r="N38" s="36">
        <v>8</v>
      </c>
      <c r="O38" s="36">
        <v>16</v>
      </c>
      <c r="P38" s="36">
        <v>6</v>
      </c>
      <c r="Q38" s="36">
        <v>9</v>
      </c>
      <c r="R38" s="36" t="s">
        <v>1</v>
      </c>
      <c r="AB38" s="36">
        <f>288+50</f>
        <v>338</v>
      </c>
    </row>
    <row r="39" spans="1:28" hidden="1" outlineLevel="2" x14ac:dyDescent="0.25">
      <c r="B39" s="17">
        <f t="shared" ref="B39:E43" si="9">wound($L39,$V39,$X39,$Y39,$Z39,B$3,B$4,B$6)*$S39</f>
        <v>0.69444444444444453</v>
      </c>
      <c r="C39" s="17">
        <f t="shared" si="9"/>
        <v>0.41666666666666669</v>
      </c>
      <c r="D39" s="17">
        <f t="shared" si="9"/>
        <v>0.33333333333333331</v>
      </c>
      <c r="E39" s="28">
        <f t="shared" si="9"/>
        <v>0.33333333333333331</v>
      </c>
      <c r="F39" s="15"/>
      <c r="G39" s="15"/>
      <c r="H39" s="27"/>
      <c r="L39" s="6">
        <v>3</v>
      </c>
      <c r="S39" s="6">
        <v>1</v>
      </c>
      <c r="T39" s="7" t="s">
        <v>70</v>
      </c>
      <c r="U39" s="7" t="s">
        <v>6</v>
      </c>
      <c r="V39" s="6">
        <v>1.5</v>
      </c>
      <c r="X39" s="7">
        <v>10</v>
      </c>
      <c r="Y39" s="7">
        <v>-1</v>
      </c>
      <c r="Z39" s="7">
        <v>1</v>
      </c>
      <c r="AA39" s="7" t="s">
        <v>71</v>
      </c>
    </row>
    <row r="40" spans="1:28" hidden="1" outlineLevel="2" x14ac:dyDescent="0.25">
      <c r="B40" s="17">
        <f t="shared" si="9"/>
        <v>3.5555555555555554</v>
      </c>
      <c r="C40" s="17">
        <f t="shared" si="9"/>
        <v>1.3333333333333333</v>
      </c>
      <c r="D40" s="17">
        <f t="shared" si="9"/>
        <v>0.88888888888888884</v>
      </c>
      <c r="E40" s="28">
        <f t="shared" si="9"/>
        <v>0.44444444444444442</v>
      </c>
      <c r="F40" s="15"/>
      <c r="G40" s="15"/>
      <c r="H40" s="27"/>
      <c r="L40" s="6">
        <v>3</v>
      </c>
      <c r="S40" s="9">
        <v>2</v>
      </c>
      <c r="T40" s="7" t="s">
        <v>39</v>
      </c>
      <c r="U40" s="7" t="s">
        <v>6</v>
      </c>
      <c r="V40" s="7">
        <v>6</v>
      </c>
      <c r="W40" s="7"/>
      <c r="X40" s="7">
        <v>4</v>
      </c>
      <c r="Y40" s="7">
        <v>0</v>
      </c>
      <c r="Z40" s="7">
        <v>1</v>
      </c>
    </row>
    <row r="41" spans="1:28" hidden="1" outlineLevel="2" x14ac:dyDescent="0.25">
      <c r="B41" s="17">
        <f t="shared" si="9"/>
        <v>0.46296296296296297</v>
      </c>
      <c r="C41" s="17">
        <f t="shared" si="9"/>
        <v>0.27777777777777779</v>
      </c>
      <c r="D41" s="17">
        <f t="shared" si="9"/>
        <v>0.77777777777777768</v>
      </c>
      <c r="E41" s="28">
        <f t="shared" si="9"/>
        <v>0.58333333333333326</v>
      </c>
      <c r="F41" s="15"/>
      <c r="G41" s="15"/>
      <c r="H41" s="27"/>
      <c r="L41" s="6">
        <v>3</v>
      </c>
      <c r="S41" s="9">
        <v>1</v>
      </c>
      <c r="T41" s="7" t="s">
        <v>40</v>
      </c>
      <c r="U41" s="7" t="s">
        <v>6</v>
      </c>
      <c r="V41" s="7">
        <v>1</v>
      </c>
      <c r="W41" s="7"/>
      <c r="X41" s="7">
        <v>8</v>
      </c>
      <c r="Y41" s="7">
        <v>-1</v>
      </c>
      <c r="Z41" s="7">
        <v>3.5</v>
      </c>
    </row>
    <row r="42" spans="1:28" hidden="1" outlineLevel="2" x14ac:dyDescent="0.25">
      <c r="B42" s="17">
        <f t="shared" si="9"/>
        <v>0.59259259259259256</v>
      </c>
      <c r="C42" s="17">
        <f t="shared" si="9"/>
        <v>0.22222222222222221</v>
      </c>
      <c r="D42" s="17">
        <f t="shared" si="9"/>
        <v>0.14814814814814814</v>
      </c>
      <c r="E42" s="28">
        <f t="shared" si="9"/>
        <v>7.407407407407407E-2</v>
      </c>
      <c r="F42" s="15"/>
      <c r="G42" s="15"/>
      <c r="H42" s="27"/>
      <c r="L42" s="6">
        <v>3</v>
      </c>
      <c r="S42" s="9">
        <v>1</v>
      </c>
      <c r="T42" s="7" t="s">
        <v>33</v>
      </c>
      <c r="U42" s="7" t="s">
        <v>6</v>
      </c>
      <c r="V42" s="7">
        <v>2</v>
      </c>
      <c r="W42" s="7"/>
      <c r="X42" s="7">
        <v>4</v>
      </c>
      <c r="Y42" s="7">
        <v>0</v>
      </c>
      <c r="Z42" s="7">
        <v>1</v>
      </c>
    </row>
    <row r="43" spans="1:28" hidden="1" outlineLevel="2" x14ac:dyDescent="0.25">
      <c r="B43" s="17">
        <f t="shared" si="9"/>
        <v>5.5555555555555562</v>
      </c>
      <c r="C43" s="17">
        <f t="shared" si="9"/>
        <v>2.6666666666666665</v>
      </c>
      <c r="D43" s="17">
        <f t="shared" si="9"/>
        <v>1.3333333333333333</v>
      </c>
      <c r="E43" s="28">
        <f t="shared" si="9"/>
        <v>1.3333333333333333</v>
      </c>
      <c r="F43" s="15"/>
      <c r="G43" s="15"/>
      <c r="H43" s="27"/>
      <c r="L43" s="6">
        <v>3</v>
      </c>
      <c r="S43" s="10">
        <v>1</v>
      </c>
      <c r="T43" s="7" t="s">
        <v>34</v>
      </c>
      <c r="U43" s="7" t="s">
        <v>6</v>
      </c>
      <c r="V43" s="7">
        <v>12</v>
      </c>
      <c r="W43" s="7"/>
      <c r="X43" s="7">
        <v>6</v>
      </c>
      <c r="Y43" s="7">
        <v>-1</v>
      </c>
      <c r="Z43" s="7">
        <v>1</v>
      </c>
    </row>
    <row r="44" spans="1:28" s="36" customFormat="1" hidden="1" outlineLevel="1" collapsed="1" x14ac:dyDescent="0.25">
      <c r="A44" s="36" t="s">
        <v>80</v>
      </c>
      <c r="B44" s="46">
        <f>SUM(B45:B46)/$AB44*100</f>
        <v>2.2862368541380884</v>
      </c>
      <c r="C44" s="46">
        <f>SUM(C45:C46)/$AB44*100</f>
        <v>1.3717421124828533</v>
      </c>
      <c r="D44" s="46">
        <f>SUM(D45:D46)/$AB44*100</f>
        <v>3.2921810699588474</v>
      </c>
      <c r="E44" s="54">
        <f>SUM(E45:E46)/$AB44*100</f>
        <v>2.4691358024691357</v>
      </c>
      <c r="F44" s="34">
        <f>$I44*$O44/(wound($H$1,F$3,F$4,F$5,F$6,$N44,$R44,$O44)*$AB44)/$K$3</f>
        <v>0.75720164609053509</v>
      </c>
      <c r="G44" s="34">
        <f>$I44*$O44/(wound($H$1,G$3,G$4,G$5,G$6,$N44,$R44,$O44)*$AB44)/$K$5</f>
        <v>0.7407407407407407</v>
      </c>
      <c r="H44" s="35">
        <f>$I44*$O44/(wound($H$1,H$3,H$4,H$5,H$6,$N44,$R44,$O44)*$AB44)/$K$4</f>
        <v>0.79012345679012341</v>
      </c>
      <c r="I44">
        <v>1</v>
      </c>
      <c r="J44" s="36" t="s">
        <v>81</v>
      </c>
      <c r="K44" s="36" t="s">
        <v>32</v>
      </c>
      <c r="M44" s="36">
        <v>3</v>
      </c>
      <c r="N44" s="36">
        <v>6</v>
      </c>
      <c r="O44" s="36">
        <v>4</v>
      </c>
      <c r="P44" s="36">
        <v>1</v>
      </c>
      <c r="Q44" s="36">
        <v>8</v>
      </c>
      <c r="R44" s="36" t="s">
        <v>2</v>
      </c>
      <c r="AB44" s="36">
        <f>55+26</f>
        <v>81</v>
      </c>
    </row>
    <row r="45" spans="1:28" hidden="1" outlineLevel="2" x14ac:dyDescent="0.25">
      <c r="B45" s="17">
        <f t="shared" ref="B45:E46" si="10">wound($L45,$V45,$X45,$Y45,$Z45,B$3,B$4,B$6)*$S45</f>
        <v>1.8518518518518519</v>
      </c>
      <c r="C45" s="17">
        <f t="shared" si="10"/>
        <v>1.1111111111111112</v>
      </c>
      <c r="D45" s="17">
        <f t="shared" si="10"/>
        <v>2.6666666666666665</v>
      </c>
      <c r="E45" s="28">
        <f t="shared" si="10"/>
        <v>2</v>
      </c>
      <c r="F45" s="15"/>
      <c r="G45" s="15"/>
      <c r="H45" s="27"/>
      <c r="L45" s="6">
        <v>3</v>
      </c>
      <c r="S45" s="12">
        <v>1</v>
      </c>
      <c r="T45" s="7" t="s">
        <v>60</v>
      </c>
      <c r="U45" s="7" t="s">
        <v>6</v>
      </c>
      <c r="V45" s="7">
        <v>4</v>
      </c>
      <c r="W45" s="7" t="s">
        <v>61</v>
      </c>
      <c r="X45" s="7">
        <v>8</v>
      </c>
      <c r="Y45" s="7">
        <v>-1</v>
      </c>
      <c r="Z45" s="7">
        <v>3</v>
      </c>
      <c r="AA45" s="7" t="s">
        <v>4</v>
      </c>
    </row>
    <row r="46" spans="1:28" hidden="1" outlineLevel="2" x14ac:dyDescent="0.25">
      <c r="B46" s="17">
        <f t="shared" si="10"/>
        <v>0</v>
      </c>
      <c r="C46" s="17">
        <f t="shared" si="10"/>
        <v>0</v>
      </c>
      <c r="D46" s="17">
        <f t="shared" si="10"/>
        <v>0</v>
      </c>
      <c r="E46" s="28">
        <f t="shared" si="10"/>
        <v>0</v>
      </c>
      <c r="F46" s="15"/>
      <c r="G46" s="15"/>
      <c r="H46" s="27"/>
      <c r="L46" s="6">
        <v>3</v>
      </c>
      <c r="S46" s="6">
        <v>0</v>
      </c>
      <c r="T46" s="7" t="s">
        <v>62</v>
      </c>
      <c r="U46" s="7" t="s">
        <v>63</v>
      </c>
      <c r="V46" s="11">
        <v>6</v>
      </c>
      <c r="W46" s="7" t="s">
        <v>64</v>
      </c>
      <c r="X46" s="7">
        <v>5</v>
      </c>
      <c r="Y46" s="7">
        <v>0</v>
      </c>
      <c r="Z46" s="7">
        <v>1</v>
      </c>
      <c r="AA46" s="7" t="s">
        <v>65</v>
      </c>
    </row>
    <row r="47" spans="1:28" s="36" customFormat="1" hidden="1" outlineLevel="1" collapsed="1" x14ac:dyDescent="0.25">
      <c r="A47" s="40" t="s">
        <v>82</v>
      </c>
      <c r="B47" s="46">
        <f>SUM(B48:B50)/$AB47*100</f>
        <v>5.6644880174291936</v>
      </c>
      <c r="C47" s="46">
        <f>SUM(C48:C50)/$AB47*100</f>
        <v>3.3273915626856803</v>
      </c>
      <c r="D47" s="46">
        <f>SUM(D48:D50)/$AB47*100</f>
        <v>1.6835016835016834</v>
      </c>
      <c r="E47" s="54">
        <f>SUM(E48:E50)/$AB47*100</f>
        <v>1.6438898791839969</v>
      </c>
      <c r="F47" s="34">
        <f>$I47*$O47/(wound($H$1,F$3,F$4,F$5,F$6,$N47,$R47,$O47)*$AB47)/$K$3</f>
        <v>1.1479500891265599</v>
      </c>
      <c r="G47" s="34">
        <f>$I47*$O47/(wound($H$1,G$3,G$4,G$5,G$6,$N47,$R47,$O47)*$AB47)/$K$5</f>
        <v>1.1229946524064172</v>
      </c>
      <c r="H47" s="35">
        <f>$I47*$O47/(wound($H$1,H$3,H$4,H$5,H$6,$N47,$R47,$O47)*$AB47)/$K$4</f>
        <v>1.197860962566845</v>
      </c>
      <c r="I47">
        <v>1</v>
      </c>
      <c r="J47" s="40">
        <v>14</v>
      </c>
      <c r="K47" s="40" t="s">
        <v>32</v>
      </c>
      <c r="L47" s="40">
        <v>3</v>
      </c>
      <c r="M47" s="40">
        <v>6</v>
      </c>
      <c r="N47" s="40">
        <v>7</v>
      </c>
      <c r="O47" s="40">
        <v>14</v>
      </c>
      <c r="P47" s="40">
        <v>4</v>
      </c>
      <c r="Q47" s="40">
        <v>8</v>
      </c>
      <c r="R47" s="40" t="s">
        <v>2</v>
      </c>
      <c r="AB47" s="40">
        <v>187</v>
      </c>
    </row>
    <row r="48" spans="1:28" hidden="1" outlineLevel="2" x14ac:dyDescent="0.25">
      <c r="B48" s="17">
        <f t="shared" ref="B48:E50" si="11">wound($L48,$V48,$X48,$Y48,$Z48,B$3,B$4,B$6)*$S48</f>
        <v>3.333333333333333</v>
      </c>
      <c r="C48" s="17">
        <f t="shared" si="11"/>
        <v>2</v>
      </c>
      <c r="D48" s="17">
        <f t="shared" si="11"/>
        <v>1</v>
      </c>
      <c r="E48" s="28">
        <f t="shared" si="11"/>
        <v>1</v>
      </c>
      <c r="F48" s="15"/>
      <c r="G48" s="15"/>
      <c r="H48" s="27"/>
      <c r="L48" s="6">
        <v>3</v>
      </c>
      <c r="S48" s="11">
        <v>3</v>
      </c>
      <c r="T48" s="7" t="s">
        <v>45</v>
      </c>
      <c r="U48" s="7" t="s">
        <v>46</v>
      </c>
      <c r="V48" s="7">
        <v>3</v>
      </c>
      <c r="X48" s="7">
        <v>5</v>
      </c>
      <c r="Y48" s="7">
        <v>-1</v>
      </c>
      <c r="Z48" s="7">
        <v>1</v>
      </c>
      <c r="AA48" s="7" t="s">
        <v>4</v>
      </c>
    </row>
    <row r="49" spans="1:28" hidden="1" outlineLevel="2" x14ac:dyDescent="0.25">
      <c r="B49" s="17">
        <f t="shared" si="11"/>
        <v>6.666666666666667</v>
      </c>
      <c r="C49" s="17">
        <f t="shared" si="11"/>
        <v>4</v>
      </c>
      <c r="D49" s="17">
        <f t="shared" si="11"/>
        <v>2</v>
      </c>
      <c r="E49" s="28">
        <f t="shared" si="11"/>
        <v>2</v>
      </c>
      <c r="F49" s="15"/>
      <c r="G49" s="15"/>
      <c r="H49" s="27"/>
      <c r="L49" s="13">
        <v>3</v>
      </c>
      <c r="S49" s="13">
        <v>1</v>
      </c>
      <c r="T49" s="7" t="s">
        <v>83</v>
      </c>
      <c r="U49" s="7" t="s">
        <v>46</v>
      </c>
      <c r="V49" s="7">
        <v>18</v>
      </c>
      <c r="X49" s="7">
        <v>5</v>
      </c>
      <c r="Y49" s="7">
        <v>-1</v>
      </c>
      <c r="Z49" s="7">
        <v>1</v>
      </c>
      <c r="AA49" s="7" t="s">
        <v>4</v>
      </c>
    </row>
    <row r="50" spans="1:28" hidden="1" outlineLevel="2" x14ac:dyDescent="0.25">
      <c r="B50" s="17">
        <f t="shared" si="11"/>
        <v>0.59259259259259256</v>
      </c>
      <c r="C50" s="17">
        <f t="shared" si="11"/>
        <v>0.22222222222222221</v>
      </c>
      <c r="D50" s="17">
        <f t="shared" si="11"/>
        <v>0.14814814814814814</v>
      </c>
      <c r="E50" s="28">
        <f t="shared" si="11"/>
        <v>7.407407407407407E-2</v>
      </c>
      <c r="F50" s="15"/>
      <c r="G50" s="15"/>
      <c r="H50" s="27"/>
      <c r="L50" s="13">
        <v>3</v>
      </c>
      <c r="S50" s="9">
        <v>1</v>
      </c>
      <c r="T50" s="7" t="s">
        <v>33</v>
      </c>
      <c r="U50" s="7" t="s">
        <v>6</v>
      </c>
      <c r="V50" s="7">
        <v>2</v>
      </c>
      <c r="W50" s="7"/>
      <c r="X50" s="7">
        <v>4</v>
      </c>
      <c r="Y50" s="7">
        <v>0</v>
      </c>
      <c r="Z50" s="7">
        <v>1</v>
      </c>
    </row>
    <row r="51" spans="1:28" s="36" customFormat="1" hidden="1" outlineLevel="1" collapsed="1" x14ac:dyDescent="0.25">
      <c r="A51" s="36" t="s">
        <v>84</v>
      </c>
      <c r="B51" s="46">
        <f>SUM(B52:B55)/$AB51*100</f>
        <v>4.6296296296296289</v>
      </c>
      <c r="C51" s="46">
        <f>SUM(C52:C55)/$AB51*100</f>
        <v>2.7777777777777777</v>
      </c>
      <c r="D51" s="46">
        <f>SUM(D52:D55)/$AB51*100</f>
        <v>1.3888888888888888</v>
      </c>
      <c r="E51" s="54">
        <f>SUM(E52:E55)/$AB51*100</f>
        <v>1.3888888888888888</v>
      </c>
      <c r="F51" s="34">
        <f>$I51*$O51/(wound($H$1,F$3,F$4,F$5,F$6,$N51,$R51,$O51)*$AB51)/$K$3</f>
        <v>0.63888888888888895</v>
      </c>
      <c r="G51" s="34">
        <f>$I51*$O51/(wound($H$1,G$3,G$4,G$5,G$6,$N51,$R51,$O51)*$AB51)/$K$5</f>
        <v>0.41666666666666663</v>
      </c>
      <c r="H51" s="35">
        <f>$I51*$O51/(wound($H$1,H$3,H$4,H$5,H$6,$N51,$R51,$O51)*$AB51)/$K$4</f>
        <v>0.66666666666666663</v>
      </c>
      <c r="I51">
        <v>1</v>
      </c>
      <c r="J51" s="40" t="s">
        <v>81</v>
      </c>
      <c r="K51" s="40" t="s">
        <v>32</v>
      </c>
      <c r="M51" s="40">
        <v>3</v>
      </c>
      <c r="N51" s="40">
        <v>5</v>
      </c>
      <c r="O51" s="40">
        <v>4</v>
      </c>
      <c r="P51" s="40">
        <v>1</v>
      </c>
      <c r="Q51" s="40">
        <v>7</v>
      </c>
      <c r="R51" s="40" t="s">
        <v>2</v>
      </c>
      <c r="AB51" s="36">
        <f>60+S52*36+S53*45+S54*45+S55*60</f>
        <v>96</v>
      </c>
    </row>
    <row r="52" spans="1:28" hidden="1" outlineLevel="1" x14ac:dyDescent="0.25">
      <c r="B52" s="17">
        <f t="shared" ref="B52:E55" si="12">wound($L52,$V52,$X52,$Y52,$Z52,B$3,B$4,B$6)*$S52</f>
        <v>4.4444444444444438</v>
      </c>
      <c r="C52" s="17">
        <f t="shared" si="12"/>
        <v>2.6666666666666665</v>
      </c>
      <c r="D52" s="17">
        <f t="shared" si="12"/>
        <v>1.3333333333333333</v>
      </c>
      <c r="E52" s="28">
        <f t="shared" si="12"/>
        <v>1.3333333333333333</v>
      </c>
      <c r="F52" s="15"/>
      <c r="G52" s="15"/>
      <c r="H52" s="27"/>
      <c r="L52" s="7">
        <v>3</v>
      </c>
      <c r="S52" s="11">
        <v>1</v>
      </c>
      <c r="T52" s="7" t="s">
        <v>86</v>
      </c>
      <c r="U52" s="7" t="s">
        <v>46</v>
      </c>
      <c r="V52" s="6">
        <v>12</v>
      </c>
      <c r="W52" s="7" t="s">
        <v>85</v>
      </c>
      <c r="X52" s="7">
        <v>5</v>
      </c>
      <c r="Y52" s="7">
        <v>-1</v>
      </c>
      <c r="Z52" s="7">
        <v>1</v>
      </c>
      <c r="AA52" s="7" t="s">
        <v>4</v>
      </c>
    </row>
    <row r="53" spans="1:28" hidden="1" outlineLevel="1" x14ac:dyDescent="0.25">
      <c r="B53" s="17">
        <f t="shared" si="12"/>
        <v>0</v>
      </c>
      <c r="C53" s="17">
        <f t="shared" si="12"/>
        <v>0</v>
      </c>
      <c r="D53" s="17">
        <f t="shared" si="12"/>
        <v>0</v>
      </c>
      <c r="E53" s="28">
        <f t="shared" si="12"/>
        <v>0</v>
      </c>
      <c r="F53" s="15"/>
      <c r="G53" s="15"/>
      <c r="H53" s="27"/>
      <c r="S53" s="12">
        <v>0</v>
      </c>
      <c r="T53" s="7" t="s">
        <v>60</v>
      </c>
      <c r="U53" s="7" t="s">
        <v>6</v>
      </c>
      <c r="V53" s="7">
        <v>4</v>
      </c>
      <c r="W53" s="7" t="s">
        <v>61</v>
      </c>
      <c r="X53" s="7">
        <v>8</v>
      </c>
      <c r="Y53" s="7">
        <v>-2</v>
      </c>
      <c r="Z53" s="7">
        <v>3</v>
      </c>
      <c r="AA53" s="7" t="s">
        <v>4</v>
      </c>
    </row>
    <row r="54" spans="1:28" hidden="1" outlineLevel="1" x14ac:dyDescent="0.25">
      <c r="B54" s="17">
        <f t="shared" si="12"/>
        <v>0</v>
      </c>
      <c r="C54" s="17">
        <f t="shared" si="12"/>
        <v>0</v>
      </c>
      <c r="D54" s="17">
        <f t="shared" si="12"/>
        <v>0</v>
      </c>
      <c r="E54" s="28">
        <f t="shared" si="12"/>
        <v>0</v>
      </c>
      <c r="F54" s="15"/>
      <c r="G54" s="15"/>
      <c r="H54" s="27"/>
      <c r="S54" s="6">
        <v>0</v>
      </c>
      <c r="T54" s="7" t="s">
        <v>62</v>
      </c>
      <c r="U54" s="7" t="s">
        <v>63</v>
      </c>
      <c r="V54" s="11">
        <v>6</v>
      </c>
      <c r="W54" s="7" t="s">
        <v>64</v>
      </c>
      <c r="X54" s="7">
        <v>5</v>
      </c>
      <c r="Y54" s="7">
        <v>0</v>
      </c>
      <c r="Z54" s="7">
        <v>1</v>
      </c>
      <c r="AA54" s="7" t="s">
        <v>65</v>
      </c>
    </row>
    <row r="55" spans="1:28" hidden="1" outlineLevel="1" x14ac:dyDescent="0.25">
      <c r="B55" s="17">
        <f t="shared" si="12"/>
        <v>0</v>
      </c>
      <c r="C55" s="17">
        <f t="shared" si="12"/>
        <v>0</v>
      </c>
      <c r="D55" s="17">
        <f t="shared" si="12"/>
        <v>0</v>
      </c>
      <c r="E55" s="28">
        <f t="shared" si="12"/>
        <v>0</v>
      </c>
      <c r="F55" s="15"/>
      <c r="G55" s="15"/>
      <c r="H55" s="27"/>
      <c r="S55" s="6">
        <v>0</v>
      </c>
      <c r="T55" s="7" t="s">
        <v>87</v>
      </c>
      <c r="U55" s="7" t="s">
        <v>46</v>
      </c>
      <c r="V55" s="6">
        <v>1</v>
      </c>
      <c r="W55" s="7" t="s">
        <v>88</v>
      </c>
      <c r="X55" s="7">
        <v>12</v>
      </c>
      <c r="Y55" s="7">
        <v>-4</v>
      </c>
      <c r="Z55" s="7" t="s">
        <v>8</v>
      </c>
      <c r="AA55" s="7" t="s">
        <v>89</v>
      </c>
    </row>
    <row r="56" spans="1:28" s="36" customFormat="1" collapsed="1" x14ac:dyDescent="0.25">
      <c r="A56" s="40" t="s">
        <v>91</v>
      </c>
      <c r="B56" s="46">
        <f>SUM(B57:B61)/$AB56*100</f>
        <v>2.9914529914529915</v>
      </c>
      <c r="C56" s="46">
        <f>SUM(C57:C61)/$AB56*100</f>
        <v>1.6025641025641024</v>
      </c>
      <c r="D56" s="46">
        <f>SUM(D57:D61)/$AB56*100</f>
        <v>0.85470085470085466</v>
      </c>
      <c r="E56" s="54">
        <f>SUM(E57:E61)/$AB56*100</f>
        <v>0.74786324786324787</v>
      </c>
      <c r="F56" s="34">
        <f>$I56*$O56/(wound($H$1,F$3,F$4,F$5,F$6,$N56,$R56,$O56)*$AB56)/$K$3</f>
        <v>1.9658119658119659</v>
      </c>
      <c r="G56" s="34">
        <f>$I56*$O56/(wound($H$1,G$3,G$4,G$5,G$6,$N56,$R56,$O56)*$AB56)/$K$5</f>
        <v>1.9230769230769231</v>
      </c>
      <c r="H56" s="35">
        <f>$I56*$O56/(wound($H$1,H$3,H$4,H$5,H$6,$N56,$R56,$O56)*$AB56)/$K$4</f>
        <v>2.0512820512820515</v>
      </c>
      <c r="I56">
        <v>1</v>
      </c>
      <c r="J56" s="40" t="s">
        <v>3</v>
      </c>
      <c r="K56" s="40" t="s">
        <v>32</v>
      </c>
      <c r="M56" s="40">
        <v>6</v>
      </c>
      <c r="N56" s="40">
        <v>7</v>
      </c>
      <c r="O56" s="40">
        <v>10</v>
      </c>
      <c r="P56" s="40" t="s">
        <v>92</v>
      </c>
      <c r="Q56" s="40">
        <v>7</v>
      </c>
      <c r="R56" s="40" t="s">
        <v>2</v>
      </c>
      <c r="AB56" s="36">
        <f>60+S57*8+S58*2+S60*14+S61*2</f>
        <v>78</v>
      </c>
    </row>
    <row r="57" spans="1:28" hidden="1" outlineLevel="1" x14ac:dyDescent="0.25">
      <c r="B57" s="17">
        <f t="shared" ref="B57:E65" si="13">wound($L57,$V57,$X57,$Y57,$Z57,B$3,B$4,B$6)*$S57</f>
        <v>1.6666666666666667</v>
      </c>
      <c r="C57" s="17">
        <f t="shared" si="13"/>
        <v>1</v>
      </c>
      <c r="D57" s="17">
        <f t="shared" si="13"/>
        <v>0.5</v>
      </c>
      <c r="E57" s="28">
        <f t="shared" si="13"/>
        <v>0.5</v>
      </c>
      <c r="F57" s="15"/>
      <c r="G57" s="15"/>
      <c r="H57" s="27"/>
      <c r="L57" s="7">
        <v>4</v>
      </c>
      <c r="S57" s="11">
        <v>2</v>
      </c>
      <c r="T57" s="7" t="s">
        <v>45</v>
      </c>
      <c r="U57" s="7" t="s">
        <v>46</v>
      </c>
      <c r="V57" s="13">
        <v>3</v>
      </c>
      <c r="W57" s="7" t="s">
        <v>93</v>
      </c>
      <c r="X57" s="7">
        <v>5</v>
      </c>
      <c r="Y57" s="7">
        <v>-1</v>
      </c>
      <c r="Z57" s="7">
        <v>1</v>
      </c>
      <c r="AA57" s="7" t="s">
        <v>4</v>
      </c>
    </row>
    <row r="58" spans="1:28" hidden="1" outlineLevel="1" x14ac:dyDescent="0.25">
      <c r="B58" s="17">
        <f t="shared" si="13"/>
        <v>0.66666666666666663</v>
      </c>
      <c r="C58" s="17">
        <f t="shared" si="13"/>
        <v>0.25</v>
      </c>
      <c r="D58" s="17">
        <f t="shared" si="13"/>
        <v>0.16666666666666666</v>
      </c>
      <c r="E58" s="28">
        <f t="shared" si="13"/>
        <v>8.3333333333333329E-2</v>
      </c>
      <c r="F58" s="15"/>
      <c r="G58" s="15"/>
      <c r="H58" s="27"/>
      <c r="L58" s="6">
        <v>4</v>
      </c>
      <c r="S58" s="13">
        <v>1</v>
      </c>
      <c r="T58" s="7" t="s">
        <v>94</v>
      </c>
      <c r="U58" s="7" t="s">
        <v>46</v>
      </c>
      <c r="V58" s="13">
        <v>3</v>
      </c>
      <c r="W58" s="7" t="s">
        <v>93</v>
      </c>
      <c r="X58" s="7">
        <v>4</v>
      </c>
      <c r="Y58" s="7">
        <v>0</v>
      </c>
      <c r="Z58" s="7">
        <v>1</v>
      </c>
      <c r="AA58" s="7" t="s">
        <v>4</v>
      </c>
    </row>
    <row r="59" spans="1:28" hidden="1" outlineLevel="1" x14ac:dyDescent="0.25">
      <c r="B59" s="17">
        <f t="shared" si="13"/>
        <v>0</v>
      </c>
      <c r="C59" s="17">
        <f t="shared" si="13"/>
        <v>0</v>
      </c>
      <c r="D59" s="17">
        <f t="shared" si="13"/>
        <v>0</v>
      </c>
      <c r="E59" s="28">
        <f t="shared" si="13"/>
        <v>0</v>
      </c>
      <c r="F59" s="15"/>
      <c r="G59" s="15"/>
      <c r="H59" s="27"/>
      <c r="L59" s="6">
        <v>4</v>
      </c>
      <c r="S59" s="13">
        <v>0</v>
      </c>
      <c r="T59" s="7" t="s">
        <v>95</v>
      </c>
      <c r="U59" s="7" t="s">
        <v>6</v>
      </c>
      <c r="V59" s="13">
        <v>3</v>
      </c>
      <c r="W59" s="7" t="s">
        <v>96</v>
      </c>
      <c r="X59" s="7">
        <v>3</v>
      </c>
      <c r="Y59" s="7">
        <v>0</v>
      </c>
      <c r="Z59" s="7">
        <v>1</v>
      </c>
      <c r="AA59" s="7" t="s">
        <v>97</v>
      </c>
    </row>
    <row r="60" spans="1:28" hidden="1" outlineLevel="1" x14ac:dyDescent="0.25">
      <c r="B60" s="17">
        <f t="shared" si="13"/>
        <v>0</v>
      </c>
      <c r="C60" s="17">
        <f t="shared" si="13"/>
        <v>0</v>
      </c>
      <c r="D60" s="17">
        <f t="shared" si="13"/>
        <v>0</v>
      </c>
      <c r="E60" s="28">
        <f t="shared" si="13"/>
        <v>0</v>
      </c>
      <c r="F60" s="15"/>
      <c r="G60" s="15"/>
      <c r="H60" s="27"/>
      <c r="L60" s="6">
        <v>4</v>
      </c>
      <c r="S60" s="13">
        <v>0</v>
      </c>
      <c r="T60" s="7" t="s">
        <v>98</v>
      </c>
      <c r="U60" s="7" t="s">
        <v>49</v>
      </c>
      <c r="V60" s="6">
        <v>3.5</v>
      </c>
      <c r="W60" s="7" t="s">
        <v>99</v>
      </c>
      <c r="X60" s="7">
        <v>5</v>
      </c>
      <c r="Y60" s="7">
        <v>-1</v>
      </c>
      <c r="Z60" s="7">
        <v>1</v>
      </c>
      <c r="AA60" s="7" t="s">
        <v>100</v>
      </c>
    </row>
    <row r="61" spans="1:28" hidden="1" outlineLevel="1" x14ac:dyDescent="0.25">
      <c r="B61" s="17">
        <f t="shared" si="13"/>
        <v>0</v>
      </c>
      <c r="C61" s="17">
        <f t="shared" si="13"/>
        <v>0</v>
      </c>
      <c r="D61" s="17">
        <f t="shared" si="13"/>
        <v>0</v>
      </c>
      <c r="E61" s="28">
        <f t="shared" si="13"/>
        <v>0</v>
      </c>
      <c r="F61" s="15"/>
      <c r="G61" s="15"/>
      <c r="H61" s="27"/>
      <c r="L61" s="6">
        <v>4</v>
      </c>
      <c r="T61" s="7" t="s">
        <v>33</v>
      </c>
      <c r="U61" s="7" t="s">
        <v>6</v>
      </c>
      <c r="V61" s="6">
        <v>2</v>
      </c>
      <c r="W61" s="7" t="s">
        <v>101</v>
      </c>
      <c r="X61" s="7">
        <v>4</v>
      </c>
      <c r="Y61" s="7">
        <v>0</v>
      </c>
      <c r="Z61" s="7">
        <v>1</v>
      </c>
    </row>
    <row r="62" spans="1:28" collapsed="1" x14ac:dyDescent="0.25">
      <c r="A62" s="6" t="s">
        <v>218</v>
      </c>
      <c r="B62" s="46">
        <f>SUM(B63:B65)/$AB62*100</f>
        <v>2.8549382716049383</v>
      </c>
      <c r="C62" s="46">
        <f>SUM(C63:C65)/$AB62*100</f>
        <v>1.2731481481481481</v>
      </c>
      <c r="D62" s="46">
        <f>SUM(D63:D65)/$AB62*100</f>
        <v>1.6203703703703707</v>
      </c>
      <c r="E62" s="54">
        <f>SUM(E63:E65)/$AB62*100</f>
        <v>1.0416666666666665</v>
      </c>
      <c r="F62" s="34">
        <f>$I62*$O62/(wound($H$1,F$3,F$4,F$5,F$6,$N62,$R62,$O62)*$AB62)/$K$3</f>
        <v>2.1296296296296302</v>
      </c>
      <c r="G62" s="34">
        <f>$I62*$O62/(wound($H$1,G$3,G$4,G$5,G$6,$N62,$R62,$O62)*$AB62)/$K$5</f>
        <v>2.0833333333333335</v>
      </c>
      <c r="H62" s="35">
        <f>$I62*$O62/(wound($H$1,H$3,H$4,H$5,H$6,$N62,$R62,$O62)*$AB62)/$K$4</f>
        <v>2.2222222222222223</v>
      </c>
      <c r="I62">
        <v>1</v>
      </c>
      <c r="J62" s="6" t="s">
        <v>219</v>
      </c>
      <c r="K62" s="6" t="s">
        <v>32</v>
      </c>
      <c r="L62" s="6">
        <v>4</v>
      </c>
      <c r="M62" s="6">
        <v>6</v>
      </c>
      <c r="N62" s="6">
        <v>6</v>
      </c>
      <c r="O62" s="6">
        <v>10</v>
      </c>
      <c r="P62" s="6" t="s">
        <v>92</v>
      </c>
      <c r="Q62" s="6">
        <v>7</v>
      </c>
      <c r="R62" s="6" t="s">
        <v>2</v>
      </c>
      <c r="T62" s="7"/>
      <c r="U62" s="7"/>
      <c r="W62" s="7"/>
      <c r="X62" s="7"/>
      <c r="Y62" s="7"/>
      <c r="Z62" s="7"/>
      <c r="AB62" s="6">
        <f>50+S63*AB63+S64*AB64+S65*AB65</f>
        <v>72</v>
      </c>
    </row>
    <row r="63" spans="1:28" hidden="1" outlineLevel="1" x14ac:dyDescent="0.25">
      <c r="B63" s="17">
        <f t="shared" si="13"/>
        <v>1.3888888888888891</v>
      </c>
      <c r="C63" s="17">
        <f t="shared" si="13"/>
        <v>0.66666666666666663</v>
      </c>
      <c r="D63" s="17">
        <f t="shared" si="13"/>
        <v>1</v>
      </c>
      <c r="E63" s="28">
        <f t="shared" si="13"/>
        <v>0.66666666666666663</v>
      </c>
      <c r="F63" s="15"/>
      <c r="G63" s="15"/>
      <c r="H63" s="27"/>
      <c r="L63" s="6">
        <v>4</v>
      </c>
      <c r="S63" s="6">
        <v>2</v>
      </c>
      <c r="T63" s="7" t="s">
        <v>108</v>
      </c>
      <c r="U63" s="7" t="s">
        <v>22</v>
      </c>
      <c r="V63" s="13">
        <v>2</v>
      </c>
      <c r="W63" s="7" t="s">
        <v>67</v>
      </c>
      <c r="X63" s="7">
        <v>7</v>
      </c>
      <c r="Y63" s="7">
        <v>-1</v>
      </c>
      <c r="Z63" s="7">
        <v>2</v>
      </c>
      <c r="AA63" s="7" t="s">
        <v>4</v>
      </c>
      <c r="AB63" s="7">
        <v>10</v>
      </c>
    </row>
    <row r="64" spans="1:28" hidden="1" outlineLevel="1" x14ac:dyDescent="0.25">
      <c r="B64" s="17">
        <f t="shared" si="13"/>
        <v>0</v>
      </c>
      <c r="C64" s="17">
        <f t="shared" si="13"/>
        <v>0</v>
      </c>
      <c r="D64" s="17">
        <f t="shared" si="13"/>
        <v>0</v>
      </c>
      <c r="E64" s="28">
        <f t="shared" si="13"/>
        <v>0</v>
      </c>
      <c r="F64" s="15"/>
      <c r="G64" s="15"/>
      <c r="H64" s="27"/>
      <c r="L64" s="6">
        <v>4</v>
      </c>
      <c r="T64" s="7" t="s">
        <v>33</v>
      </c>
      <c r="U64" s="7" t="s">
        <v>6</v>
      </c>
      <c r="V64" s="6">
        <v>2</v>
      </c>
      <c r="W64" s="7" t="s">
        <v>101</v>
      </c>
      <c r="X64" s="7">
        <v>4</v>
      </c>
      <c r="Y64" s="7">
        <v>0</v>
      </c>
      <c r="Z64" s="7">
        <v>1</v>
      </c>
      <c r="AB64" s="7">
        <v>2</v>
      </c>
    </row>
    <row r="65" spans="1:28" hidden="1" outlineLevel="1" x14ac:dyDescent="0.25">
      <c r="B65" s="17">
        <f t="shared" si="13"/>
        <v>0.66666666666666663</v>
      </c>
      <c r="C65" s="17">
        <f t="shared" si="13"/>
        <v>0.25</v>
      </c>
      <c r="D65" s="17">
        <f t="shared" si="13"/>
        <v>0.16666666666666666</v>
      </c>
      <c r="E65" s="28">
        <f t="shared" si="13"/>
        <v>8.3333333333333329E-2</v>
      </c>
      <c r="F65" s="15"/>
      <c r="G65" s="15"/>
      <c r="H65" s="27"/>
      <c r="L65" s="6">
        <v>4</v>
      </c>
      <c r="S65" s="6">
        <v>1</v>
      </c>
      <c r="T65" s="7" t="s">
        <v>94</v>
      </c>
      <c r="U65" s="7" t="s">
        <v>46</v>
      </c>
      <c r="V65" s="13">
        <v>3</v>
      </c>
      <c r="W65" s="7" t="s">
        <v>93</v>
      </c>
      <c r="X65" s="7">
        <v>4</v>
      </c>
      <c r="Y65" s="7">
        <v>0</v>
      </c>
      <c r="Z65" s="7">
        <v>1</v>
      </c>
      <c r="AB65" s="7">
        <v>2</v>
      </c>
    </row>
    <row r="66" spans="1:28" s="36" customFormat="1" collapsed="1" x14ac:dyDescent="0.25">
      <c r="A66" s="40" t="s">
        <v>102</v>
      </c>
      <c r="B66" s="46">
        <f>SUM(B67:B73)/$AB66*100</f>
        <v>7.0707070707070701</v>
      </c>
      <c r="C66" s="46">
        <f>SUM(C67:C73)/$AB66*100</f>
        <v>2.6515151515151514</v>
      </c>
      <c r="D66" s="46">
        <f>SUM(D67:D73)/$AB66*100</f>
        <v>1.7676767676767675</v>
      </c>
      <c r="E66" s="54">
        <f>SUM(E67:E73)/$AB66*100</f>
        <v>0.88383838383838376</v>
      </c>
      <c r="F66" s="34">
        <f>$I66*$O66/(wound($H$1,F$3,F$4,F$5,F$6,$N66,$R66,$O66)*$AB66)/$K$3</f>
        <v>3.2525252525252535</v>
      </c>
      <c r="G66" s="34">
        <f>$I66*$O66/(wound($H$1,G$3,G$4,G$5,G$6,$N66,$R66,$O66)*$AB66)/$K$5</f>
        <v>0.81818181818181823</v>
      </c>
      <c r="H66" s="35">
        <f>$I66*$O66/(wound($H$1,H$3,H$4,H$5,H$6,$N66,$R66,$O66)*$AB66)/$K$4</f>
        <v>0.72727272727272729</v>
      </c>
      <c r="I66">
        <v>1</v>
      </c>
      <c r="J66" s="40" t="s">
        <v>7</v>
      </c>
      <c r="K66" s="40" t="s">
        <v>50</v>
      </c>
      <c r="M66" s="40">
        <v>3</v>
      </c>
      <c r="N66" s="40">
        <v>3</v>
      </c>
      <c r="O66" s="40">
        <v>2</v>
      </c>
      <c r="P66" s="40">
        <v>2</v>
      </c>
      <c r="Q66" s="40">
        <v>6</v>
      </c>
      <c r="R66" s="40" t="s">
        <v>103</v>
      </c>
      <c r="AB66" s="36">
        <f>2+4+S68*AB68+S69*AB69+S70*AB70+S71*AB71+S72*AB72+S73*AB73</f>
        <v>11</v>
      </c>
    </row>
    <row r="67" spans="1:28" hidden="1" outlineLevel="1" x14ac:dyDescent="0.25">
      <c r="B67" s="17">
        <f t="shared" ref="B67:E73" si="14">wound($L67,$V67,$X67,$Y67,$Z67,B$3,B$4,B$6)*$S67</f>
        <v>0</v>
      </c>
      <c r="C67" s="17">
        <f t="shared" si="14"/>
        <v>0</v>
      </c>
      <c r="D67" s="17">
        <f t="shared" si="14"/>
        <v>0</v>
      </c>
      <c r="E67" s="28">
        <f t="shared" si="14"/>
        <v>0</v>
      </c>
      <c r="F67" s="38"/>
      <c r="G67" s="38"/>
      <c r="H67" s="39"/>
      <c r="L67" s="7">
        <v>4</v>
      </c>
      <c r="S67" s="7">
        <v>0</v>
      </c>
      <c r="T67" s="7" t="s">
        <v>104</v>
      </c>
      <c r="U67" s="7">
        <v>24</v>
      </c>
      <c r="V67" s="13">
        <v>1</v>
      </c>
      <c r="W67" s="7" t="s">
        <v>105</v>
      </c>
      <c r="X67" s="7">
        <v>3</v>
      </c>
      <c r="Y67" s="7">
        <v>0</v>
      </c>
      <c r="Z67" s="7">
        <v>1</v>
      </c>
      <c r="AA67" s="7" t="s">
        <v>4</v>
      </c>
    </row>
    <row r="68" spans="1:28" hidden="1" outlineLevel="1" x14ac:dyDescent="0.25">
      <c r="B68" s="17">
        <f t="shared" si="14"/>
        <v>0.77777777777777768</v>
      </c>
      <c r="C68" s="17">
        <f t="shared" si="14"/>
        <v>0.29166666666666669</v>
      </c>
      <c r="D68" s="17">
        <f t="shared" si="14"/>
        <v>0.19444444444444442</v>
      </c>
      <c r="E68" s="28">
        <f t="shared" si="14"/>
        <v>9.722222222222221E-2</v>
      </c>
      <c r="F68" s="15"/>
      <c r="G68" s="15"/>
      <c r="H68" s="27"/>
      <c r="L68" s="7">
        <v>4</v>
      </c>
      <c r="S68" s="6">
        <v>1</v>
      </c>
      <c r="T68" s="7" t="s">
        <v>106</v>
      </c>
      <c r="U68" s="7" t="s">
        <v>22</v>
      </c>
      <c r="V68" s="13">
        <v>3.5</v>
      </c>
      <c r="W68" s="7" t="s">
        <v>99</v>
      </c>
      <c r="X68" s="7">
        <v>4</v>
      </c>
      <c r="Y68" s="7">
        <v>0</v>
      </c>
      <c r="Z68" s="7">
        <v>1</v>
      </c>
      <c r="AA68" s="7" t="s">
        <v>107</v>
      </c>
      <c r="AB68" s="7">
        <v>5</v>
      </c>
    </row>
    <row r="69" spans="1:28" hidden="1" outlineLevel="1" x14ac:dyDescent="0.25">
      <c r="B69" s="17">
        <f t="shared" si="14"/>
        <v>0</v>
      </c>
      <c r="C69" s="17">
        <f t="shared" si="14"/>
        <v>0</v>
      </c>
      <c r="D69" s="17">
        <f t="shared" si="14"/>
        <v>0</v>
      </c>
      <c r="E69" s="28">
        <f t="shared" si="14"/>
        <v>0</v>
      </c>
      <c r="F69" s="15"/>
      <c r="G69" s="15"/>
      <c r="H69" s="27"/>
      <c r="L69" s="7">
        <v>4</v>
      </c>
      <c r="S69" s="6">
        <v>0</v>
      </c>
      <c r="T69" s="7" t="s">
        <v>21</v>
      </c>
      <c r="U69" s="7" t="s">
        <v>22</v>
      </c>
      <c r="V69" s="13">
        <v>3.5</v>
      </c>
      <c r="W69" s="7" t="s">
        <v>99</v>
      </c>
      <c r="X69" s="7">
        <v>4</v>
      </c>
      <c r="Y69" s="7">
        <v>0</v>
      </c>
      <c r="Z69" s="7">
        <v>1</v>
      </c>
      <c r="AA69" s="7" t="s">
        <v>4</v>
      </c>
      <c r="AB69" s="7">
        <v>15</v>
      </c>
    </row>
    <row r="70" spans="1:28" hidden="1" outlineLevel="1" x14ac:dyDescent="0.25">
      <c r="B70" s="17">
        <f t="shared" si="14"/>
        <v>0</v>
      </c>
      <c r="C70" s="17">
        <f t="shared" si="14"/>
        <v>0</v>
      </c>
      <c r="D70" s="17">
        <f t="shared" si="14"/>
        <v>0</v>
      </c>
      <c r="E70" s="28">
        <f t="shared" si="14"/>
        <v>0</v>
      </c>
      <c r="F70" s="15"/>
      <c r="G70" s="15"/>
      <c r="H70" s="27"/>
      <c r="L70" s="7">
        <v>4</v>
      </c>
      <c r="S70" s="6">
        <v>0</v>
      </c>
      <c r="T70" s="7" t="s">
        <v>23</v>
      </c>
      <c r="U70" s="7" t="s">
        <v>22</v>
      </c>
      <c r="V70" s="13">
        <v>1</v>
      </c>
      <c r="W70" s="7" t="s">
        <v>88</v>
      </c>
      <c r="X70" s="7">
        <v>8</v>
      </c>
      <c r="Y70" s="7">
        <v>-1</v>
      </c>
      <c r="Z70" s="7">
        <v>3.5</v>
      </c>
      <c r="AA70" s="7" t="s">
        <v>4</v>
      </c>
      <c r="AB70" s="6">
        <v>15</v>
      </c>
    </row>
    <row r="71" spans="1:28" hidden="1" outlineLevel="1" x14ac:dyDescent="0.25">
      <c r="B71" s="17">
        <f t="shared" si="14"/>
        <v>0</v>
      </c>
      <c r="C71" s="17">
        <f t="shared" si="14"/>
        <v>0</v>
      </c>
      <c r="D71" s="17">
        <f t="shared" si="14"/>
        <v>0</v>
      </c>
      <c r="E71" s="28">
        <f t="shared" si="14"/>
        <v>0</v>
      </c>
      <c r="F71" s="15"/>
      <c r="G71" s="15"/>
      <c r="H71" s="27"/>
      <c r="L71" s="7">
        <v>4</v>
      </c>
      <c r="T71" s="7" t="s">
        <v>108</v>
      </c>
      <c r="U71" s="7" t="s">
        <v>22</v>
      </c>
      <c r="V71" s="13">
        <v>2</v>
      </c>
      <c r="W71" s="7" t="s">
        <v>67</v>
      </c>
      <c r="X71" s="7">
        <v>7</v>
      </c>
      <c r="Y71" s="7">
        <v>-1</v>
      </c>
      <c r="Z71" s="7">
        <v>2</v>
      </c>
      <c r="AA71" s="7" t="s">
        <v>4</v>
      </c>
      <c r="AB71" s="7">
        <v>10</v>
      </c>
    </row>
    <row r="72" spans="1:28" hidden="1" outlineLevel="1" x14ac:dyDescent="0.25">
      <c r="B72" s="17">
        <f t="shared" si="14"/>
        <v>0</v>
      </c>
      <c r="C72" s="17">
        <f t="shared" si="14"/>
        <v>0</v>
      </c>
      <c r="D72" s="17">
        <f t="shared" si="14"/>
        <v>0</v>
      </c>
      <c r="E72" s="28">
        <f t="shared" si="14"/>
        <v>0</v>
      </c>
      <c r="F72" s="15"/>
      <c r="G72" s="15"/>
      <c r="H72" s="27"/>
      <c r="L72" s="7">
        <v>4</v>
      </c>
      <c r="S72" s="6">
        <v>0</v>
      </c>
      <c r="T72" s="7" t="s">
        <v>45</v>
      </c>
      <c r="U72" s="7" t="s">
        <v>46</v>
      </c>
      <c r="V72" s="13">
        <v>3</v>
      </c>
      <c r="W72" s="7" t="s">
        <v>93</v>
      </c>
      <c r="X72" s="7">
        <v>5</v>
      </c>
      <c r="Y72" s="7">
        <v>-1</v>
      </c>
      <c r="Z72" s="7">
        <v>1</v>
      </c>
      <c r="AA72" s="7" t="s">
        <v>4</v>
      </c>
      <c r="AB72" s="7">
        <v>8</v>
      </c>
    </row>
    <row r="73" spans="1:28" hidden="1" outlineLevel="1" x14ac:dyDescent="0.25">
      <c r="B73" s="17">
        <f t="shared" si="14"/>
        <v>0</v>
      </c>
      <c r="C73" s="17">
        <f t="shared" si="14"/>
        <v>0</v>
      </c>
      <c r="D73" s="17">
        <f t="shared" si="14"/>
        <v>0</v>
      </c>
      <c r="E73" s="28">
        <f t="shared" si="14"/>
        <v>0</v>
      </c>
      <c r="F73" s="15"/>
      <c r="G73" s="15"/>
      <c r="H73" s="27"/>
      <c r="L73" s="7">
        <v>4</v>
      </c>
      <c r="S73" s="6">
        <v>0</v>
      </c>
      <c r="T73" s="7" t="s">
        <v>109</v>
      </c>
      <c r="U73" s="7" t="s">
        <v>22</v>
      </c>
      <c r="V73" s="13">
        <v>1</v>
      </c>
      <c r="W73" s="7" t="s">
        <v>88</v>
      </c>
      <c r="X73" s="7">
        <v>9</v>
      </c>
      <c r="Y73" s="7">
        <v>-2</v>
      </c>
      <c r="Z73" s="7">
        <v>3.5</v>
      </c>
      <c r="AA73" s="7" t="s">
        <v>4</v>
      </c>
      <c r="AB73" s="7">
        <v>20</v>
      </c>
    </row>
    <row r="74" spans="1:28" s="36" customFormat="1" collapsed="1" x14ac:dyDescent="0.25">
      <c r="A74" s="36" t="s">
        <v>110</v>
      </c>
      <c r="B74" s="46">
        <f>SUM(B75:B76)/$AB74*100</f>
        <v>1.6975308641975309</v>
      </c>
      <c r="C74" s="46">
        <f>SUM(C75:C76)/$AB74*100</f>
        <v>1.4146090534979425</v>
      </c>
      <c r="D74" s="46">
        <f>SUM(D75:D76)/$AB74*100</f>
        <v>2.263374485596708</v>
      </c>
      <c r="E74" s="54">
        <f>SUM(E75:E76)/$AB74*100</f>
        <v>1.8106995884773665</v>
      </c>
      <c r="F74" s="34">
        <f>$I74*$O74/(wound($H$1,F$3,F$4,F$5,F$6,$N74,$R74,$O74)*$AB74)/$K$3</f>
        <v>1.5617283950617284</v>
      </c>
      <c r="G74" s="34">
        <f>$I74*$O74/(wound($H$1,G$3,G$4,G$5,G$6,$N74,$R74,$O74)*$AB74)/$K$5</f>
        <v>1.5277777777777779</v>
      </c>
      <c r="H74" s="35">
        <f>$I74*$O74/(wound($H$1,H$3,H$4,H$5,H$6,$N74,$R74,$O74)*$AB74)/$K$4</f>
        <v>1.6296296296296295</v>
      </c>
      <c r="I74">
        <v>1</v>
      </c>
      <c r="J74" s="51" t="s">
        <v>92</v>
      </c>
      <c r="K74" s="51" t="s">
        <v>32</v>
      </c>
      <c r="M74" s="51">
        <v>6</v>
      </c>
      <c r="N74" s="51">
        <v>6</v>
      </c>
      <c r="O74" s="51">
        <v>11</v>
      </c>
      <c r="P74" s="51" t="s">
        <v>92</v>
      </c>
      <c r="Q74" s="51">
        <v>7</v>
      </c>
      <c r="R74" s="51" t="s">
        <v>2</v>
      </c>
      <c r="AB74" s="36">
        <v>108</v>
      </c>
    </row>
    <row r="75" spans="1:28" hidden="1" outlineLevel="1" x14ac:dyDescent="0.25">
      <c r="B75" s="17">
        <f t="shared" ref="B75:E79" si="15">wound($L75,$V75,$X75,$Y75,$Z75,B$3,B$4,B$6)*$S75</f>
        <v>1.8333333333333333</v>
      </c>
      <c r="C75" s="17">
        <f t="shared" si="15"/>
        <v>1.5277777777777779</v>
      </c>
      <c r="D75" s="17">
        <f t="shared" si="15"/>
        <v>2.4444444444444446</v>
      </c>
      <c r="E75" s="28">
        <f t="shared" si="15"/>
        <v>1.9555555555555557</v>
      </c>
      <c r="F75" s="38"/>
      <c r="G75" s="38"/>
      <c r="H75" s="39"/>
      <c r="L75" s="3">
        <v>4</v>
      </c>
      <c r="S75" s="3">
        <v>1</v>
      </c>
      <c r="T75" s="6" t="s">
        <v>111</v>
      </c>
      <c r="U75" s="6" t="s">
        <v>112</v>
      </c>
      <c r="V75" s="13">
        <v>4.4000000000000004</v>
      </c>
      <c r="W75" s="6" t="s">
        <v>99</v>
      </c>
      <c r="X75" s="6">
        <v>9</v>
      </c>
      <c r="Y75" s="6">
        <v>-3</v>
      </c>
      <c r="Z75" s="6">
        <v>2</v>
      </c>
      <c r="AA75" s="6" t="s">
        <v>113</v>
      </c>
    </row>
    <row r="76" spans="1:28" hidden="1" outlineLevel="1" x14ac:dyDescent="0.25">
      <c r="B76" s="17">
        <f t="shared" si="15"/>
        <v>0</v>
      </c>
      <c r="C76" s="17">
        <f t="shared" si="15"/>
        <v>0</v>
      </c>
      <c r="D76" s="17">
        <f t="shared" si="15"/>
        <v>0</v>
      </c>
      <c r="E76" s="28">
        <f t="shared" si="15"/>
        <v>0</v>
      </c>
      <c r="F76" s="15"/>
      <c r="G76" s="15"/>
      <c r="H76" s="27"/>
      <c r="L76" s="3">
        <v>4</v>
      </c>
      <c r="S76" s="6">
        <v>0</v>
      </c>
      <c r="T76" s="6" t="s">
        <v>45</v>
      </c>
      <c r="U76" s="6" t="s">
        <v>46</v>
      </c>
      <c r="V76" s="13">
        <v>3</v>
      </c>
      <c r="W76" s="6" t="s">
        <v>93</v>
      </c>
      <c r="X76" s="6">
        <v>5</v>
      </c>
      <c r="Y76" s="6">
        <v>-1</v>
      </c>
      <c r="Z76" s="6">
        <v>1</v>
      </c>
      <c r="AA76" s="6" t="s">
        <v>4</v>
      </c>
    </row>
    <row r="77" spans="1:28" collapsed="1" x14ac:dyDescent="0.25">
      <c r="A77" s="6" t="s">
        <v>205</v>
      </c>
      <c r="B77" s="46">
        <f>SUM(B78:B79)/$AB77*100</f>
        <v>1.984126984126984</v>
      </c>
      <c r="C77" s="46">
        <f>SUM(C78:C79)/$AB77*100</f>
        <v>1.3227513227513228</v>
      </c>
      <c r="D77" s="46">
        <f>SUM(D78:D79)/$AB77*100</f>
        <v>2.1164021164021163</v>
      </c>
      <c r="E77" s="54">
        <f>SUM(E78:E79)/$AB77*100</f>
        <v>2.1164021164021163</v>
      </c>
      <c r="F77" s="34">
        <f>$I77*$O77/(wound($H$1,F$3,F$4,F$5,F$6,$N77,$R77,$O77)*$AB77)/$K$3</f>
        <v>1.1473922902494331</v>
      </c>
      <c r="G77" s="34">
        <f>$I77*$O77/(wound($H$1,G$3,G$4,G$5,G$6,$N77,$R77,$O77)*$AB77)/$K$5</f>
        <v>1.1224489795918366</v>
      </c>
      <c r="H77" s="35">
        <f>$I77*$O77/(wound($H$1,H$3,H$4,H$5,H$6,$N77,$R77,$O77)*$AB77)/$K$4</f>
        <v>1.1972789115646261</v>
      </c>
      <c r="I77">
        <v>1</v>
      </c>
      <c r="J77" s="6" t="s">
        <v>92</v>
      </c>
      <c r="K77" s="6" t="s">
        <v>32</v>
      </c>
      <c r="L77" s="3" t="s">
        <v>92</v>
      </c>
      <c r="M77" s="6">
        <v>6</v>
      </c>
      <c r="N77" s="6">
        <v>7</v>
      </c>
      <c r="O77" s="6">
        <v>11</v>
      </c>
      <c r="P77" s="6" t="s">
        <v>92</v>
      </c>
      <c r="Q77" s="6">
        <v>7</v>
      </c>
      <c r="R77" s="6" t="s">
        <v>2</v>
      </c>
      <c r="V77" s="13"/>
      <c r="AB77" s="6">
        <f>125+14*S78+8</f>
        <v>147</v>
      </c>
    </row>
    <row r="78" spans="1:28" hidden="1" outlineLevel="1" x14ac:dyDescent="0.25">
      <c r="B78" s="17">
        <f t="shared" si="15"/>
        <v>2.9166666666666665</v>
      </c>
      <c r="C78" s="17">
        <f t="shared" si="15"/>
        <v>1.9444444444444446</v>
      </c>
      <c r="D78" s="17">
        <f t="shared" si="15"/>
        <v>3.1111111111111107</v>
      </c>
      <c r="E78" s="28">
        <f t="shared" si="15"/>
        <v>3.1111111111111107</v>
      </c>
      <c r="F78" s="15"/>
      <c r="G78" s="15"/>
      <c r="H78" s="27"/>
      <c r="L78" s="3">
        <v>4</v>
      </c>
      <c r="S78" s="6">
        <v>1</v>
      </c>
      <c r="T78" s="6" t="s">
        <v>207</v>
      </c>
      <c r="U78" s="6" t="s">
        <v>206</v>
      </c>
      <c r="V78" s="13">
        <v>7</v>
      </c>
      <c r="W78" s="13" t="s">
        <v>160</v>
      </c>
      <c r="X78" s="6">
        <v>10</v>
      </c>
      <c r="Y78" s="6">
        <v>-2</v>
      </c>
      <c r="Z78" s="6">
        <v>2</v>
      </c>
    </row>
    <row r="79" spans="1:28" hidden="1" outlineLevel="1" x14ac:dyDescent="0.25">
      <c r="B79" s="17">
        <f t="shared" si="15"/>
        <v>0</v>
      </c>
      <c r="C79" s="17">
        <f t="shared" si="15"/>
        <v>0</v>
      </c>
      <c r="D79" s="17">
        <f t="shared" si="15"/>
        <v>0</v>
      </c>
      <c r="E79" s="28">
        <f t="shared" si="15"/>
        <v>0</v>
      </c>
      <c r="F79" s="15"/>
      <c r="G79" s="15"/>
      <c r="H79" s="27"/>
      <c r="L79" s="3">
        <v>4</v>
      </c>
      <c r="S79" s="6">
        <v>0</v>
      </c>
      <c r="T79" s="6" t="s">
        <v>45</v>
      </c>
      <c r="U79" s="6" t="s">
        <v>46</v>
      </c>
      <c r="V79" s="13">
        <v>3</v>
      </c>
      <c r="W79" s="6" t="s">
        <v>93</v>
      </c>
      <c r="X79" s="6">
        <v>5</v>
      </c>
      <c r="Y79" s="6">
        <v>-1</v>
      </c>
      <c r="Z79" s="6">
        <v>1</v>
      </c>
    </row>
    <row r="80" spans="1:28" hidden="1" outlineLevel="1" x14ac:dyDescent="0.25">
      <c r="B80" s="17"/>
      <c r="C80" s="17"/>
      <c r="D80" s="17"/>
      <c r="E80" s="28"/>
      <c r="F80" s="15"/>
      <c r="G80" s="15"/>
      <c r="H80" s="27"/>
      <c r="L80" s="3"/>
      <c r="V80" s="13"/>
    </row>
    <row r="81" spans="1:29" s="36" customFormat="1" collapsed="1" x14ac:dyDescent="0.25">
      <c r="A81" s="51" t="s">
        <v>114</v>
      </c>
      <c r="B81" s="46">
        <f>SUM(B82:B83)/$AB81*100</f>
        <v>3.0204962243797193</v>
      </c>
      <c r="C81" s="46">
        <f>SUM(C82:C83)/$AB81*100</f>
        <v>1.1326860841423949</v>
      </c>
      <c r="D81" s="46">
        <f>SUM(D82:D83)/$AB81*100</f>
        <v>0.75512405609492983</v>
      </c>
      <c r="E81" s="54">
        <f>SUM(E82:E83)/$AB81*100</f>
        <v>0.37756202804746491</v>
      </c>
      <c r="F81" s="34">
        <f>$I81*$O81/(wound($H$1,F$3,F$4,F$5,F$6,$N81,$R81,$O81)*$AB81)/$K$3</f>
        <v>1.637540453074434</v>
      </c>
      <c r="G81" s="34">
        <f>$I81*$O81/(wound($H$1,G$3,G$4,G$5,G$6,$N81,$R81,$O81)*$AB81)/$K$5</f>
        <v>1.6019417475728155</v>
      </c>
      <c r="H81" s="35">
        <f>$I81*$O81/(wound($H$1,H$3,H$4,H$5,H$6,$N81,$R81,$O81)*$AB81)/$K$4</f>
        <v>1.7087378640776703</v>
      </c>
      <c r="I81">
        <v>1</v>
      </c>
      <c r="J81" s="51" t="s">
        <v>92</v>
      </c>
      <c r="K81" s="51" t="s">
        <v>32</v>
      </c>
      <c r="M81" s="51">
        <v>6</v>
      </c>
      <c r="N81" s="51">
        <v>6</v>
      </c>
      <c r="O81" s="51">
        <v>11</v>
      </c>
      <c r="P81" s="51" t="s">
        <v>92</v>
      </c>
      <c r="Q81" s="51">
        <v>7</v>
      </c>
      <c r="R81" s="51" t="s">
        <v>2</v>
      </c>
      <c r="AB81" s="36">
        <v>103</v>
      </c>
    </row>
    <row r="82" spans="1:29" hidden="1" outlineLevel="1" x14ac:dyDescent="0.25">
      <c r="B82" s="17">
        <f t="shared" ref="B82:E83" si="16">wound($L82,$V82,$X82,$Y82,$Z82,B$3,B$4,B$6)*$S82</f>
        <v>3.1111111111111107</v>
      </c>
      <c r="C82" s="17">
        <f t="shared" si="16"/>
        <v>1.1666666666666667</v>
      </c>
      <c r="D82" s="17">
        <f t="shared" si="16"/>
        <v>0.77777777777777768</v>
      </c>
      <c r="E82" s="28">
        <f t="shared" si="16"/>
        <v>0.38888888888888884</v>
      </c>
      <c r="F82" s="38"/>
      <c r="G82" s="38"/>
      <c r="H82" s="39"/>
      <c r="L82" s="3">
        <v>4</v>
      </c>
      <c r="S82" s="3">
        <v>1</v>
      </c>
      <c r="T82" s="6" t="s">
        <v>116</v>
      </c>
      <c r="U82" s="6" t="s">
        <v>22</v>
      </c>
      <c r="V82" s="13">
        <v>14</v>
      </c>
      <c r="W82" s="6" t="s">
        <v>115</v>
      </c>
      <c r="X82" s="6">
        <v>4</v>
      </c>
      <c r="Y82" s="6">
        <v>0</v>
      </c>
      <c r="Z82" s="6">
        <v>1</v>
      </c>
      <c r="AA82" s="6" t="s">
        <v>117</v>
      </c>
    </row>
    <row r="83" spans="1:29" hidden="1" outlineLevel="1" x14ac:dyDescent="0.25">
      <c r="B83" s="17">
        <f t="shared" si="16"/>
        <v>0</v>
      </c>
      <c r="C83" s="17">
        <f t="shared" si="16"/>
        <v>0</v>
      </c>
      <c r="D83" s="17">
        <f t="shared" si="16"/>
        <v>0</v>
      </c>
      <c r="E83" s="28">
        <f t="shared" si="16"/>
        <v>0</v>
      </c>
      <c r="F83" s="15"/>
      <c r="G83" s="15"/>
      <c r="H83" s="27"/>
      <c r="L83" s="3">
        <v>4</v>
      </c>
    </row>
    <row r="84" spans="1:29" s="36" customFormat="1" collapsed="1" x14ac:dyDescent="0.25">
      <c r="A84" s="40" t="s">
        <v>120</v>
      </c>
      <c r="B84" s="46">
        <f>SUM(B85:B86)/$AB84*100</f>
        <v>3.2073310423825885</v>
      </c>
      <c r="C84" s="46">
        <f>SUM(C85:C86)/$AB84*100</f>
        <v>1.6036655211912942</v>
      </c>
      <c r="D84" s="46">
        <f>SUM(D85:D86)/$AB84*100</f>
        <v>0.80183276059564712</v>
      </c>
      <c r="E84" s="54">
        <f>SUM(E85:E86)/$AB84*100</f>
        <v>0.80183276059564712</v>
      </c>
      <c r="F84" s="34">
        <f>$I84*$O84/(wound($H$1,F$3,F$4,F$5,F$6,$N84,$R84,$O84)*$AB84)/$K$3</f>
        <v>0.79037800687285265</v>
      </c>
      <c r="G84" s="34">
        <f>$I84*$O84/(wound($H$1,G$3,G$4,G$5,G$6,$N84,$R84,$O84)*$AB84)/$K$5</f>
        <v>0.69587628865979378</v>
      </c>
      <c r="H84" s="35">
        <f>$I84*$O84/(wound($H$1,H$3,H$4,H$5,H$6,$N84,$R84,$O84)*$AB84)/$K$4</f>
        <v>0.65979381443298968</v>
      </c>
      <c r="I84">
        <v>1</v>
      </c>
      <c r="J84" s="40" t="s">
        <v>119</v>
      </c>
      <c r="K84" s="40" t="s">
        <v>4</v>
      </c>
      <c r="M84" s="40">
        <v>4</v>
      </c>
      <c r="N84" s="40">
        <v>7</v>
      </c>
      <c r="O84" s="40">
        <v>6</v>
      </c>
      <c r="P84" s="40" t="s">
        <v>4</v>
      </c>
      <c r="Q84" s="40">
        <v>7</v>
      </c>
      <c r="R84" s="40" t="s">
        <v>50</v>
      </c>
      <c r="AB84" s="40">
        <v>97</v>
      </c>
    </row>
    <row r="85" spans="1:29" hidden="1" outlineLevel="1" x14ac:dyDescent="0.25">
      <c r="B85" s="17">
        <f t="shared" ref="B85:E86" si="17">wound($L85,$V85,$X85,$Y85,$Z85,B$3,B$4,B$6)*$S85</f>
        <v>3.1111111111111107</v>
      </c>
      <c r="C85" s="17">
        <f t="shared" si="17"/>
        <v>1.5555555555555554</v>
      </c>
      <c r="D85" s="17">
        <f t="shared" si="17"/>
        <v>0.77777777777777768</v>
      </c>
      <c r="E85" s="28">
        <f t="shared" si="17"/>
        <v>0.77777777777777768</v>
      </c>
      <c r="F85" s="38"/>
      <c r="G85" s="38"/>
      <c r="H85" s="39"/>
      <c r="L85" s="7">
        <v>4</v>
      </c>
      <c r="S85" s="7">
        <v>1</v>
      </c>
      <c r="T85" s="7" t="s">
        <v>120</v>
      </c>
      <c r="U85" s="7" t="s">
        <v>22</v>
      </c>
      <c r="V85" s="6">
        <f>4*3.5</f>
        <v>14</v>
      </c>
      <c r="W85" s="7" t="s">
        <v>115</v>
      </c>
      <c r="X85" s="7">
        <v>5</v>
      </c>
      <c r="Y85" s="7">
        <v>0</v>
      </c>
      <c r="Z85" s="7">
        <v>1</v>
      </c>
      <c r="AA85" s="7" t="s">
        <v>121</v>
      </c>
    </row>
    <row r="86" spans="1:29" hidden="1" outlineLevel="1" x14ac:dyDescent="0.25">
      <c r="B86" s="17">
        <f t="shared" si="17"/>
        <v>0</v>
      </c>
      <c r="C86" s="17">
        <f t="shared" si="17"/>
        <v>0</v>
      </c>
      <c r="D86" s="17">
        <f t="shared" si="17"/>
        <v>0</v>
      </c>
      <c r="E86" s="28">
        <f t="shared" si="17"/>
        <v>0</v>
      </c>
      <c r="F86" s="15"/>
      <c r="G86" s="15"/>
      <c r="H86" s="27"/>
      <c r="L86" s="7">
        <v>4</v>
      </c>
    </row>
    <row r="87" spans="1:29" s="36" customFormat="1" collapsed="1" x14ac:dyDescent="0.25">
      <c r="A87" s="40" t="s">
        <v>122</v>
      </c>
      <c r="B87" s="46">
        <f>SUM(B88:B89)/$AB87*100</f>
        <v>2.1219135802469138</v>
      </c>
      <c r="C87" s="46">
        <f>SUM(C88:C89)/$AB87*100</f>
        <v>1.0185185185185186</v>
      </c>
      <c r="D87" s="46">
        <f>SUM(D88:D89)/$AB87*100</f>
        <v>0.76388888888888895</v>
      </c>
      <c r="E87" s="54">
        <f>SUM(E88:E89)/$AB87*100</f>
        <v>0.76388888888888895</v>
      </c>
      <c r="F87" s="34">
        <f>$I87*$O87/(wound($H$1,F$3,F$4,F$5,F$6,$N87,$R87,$O87)*$AB87)/$K$3</f>
        <v>1.0648148148148151</v>
      </c>
      <c r="G87" s="34">
        <f>$I87*$O87/(wound($H$1,G$3,G$4,G$5,G$6,$N87,$R87,$O87)*$AB87)/$K$5</f>
        <v>0.9375</v>
      </c>
      <c r="H87" s="35">
        <f>$I87*$O87/(wound($H$1,H$3,H$4,H$5,H$6,$N87,$R87,$O87)*$AB87)/$K$4</f>
        <v>0.88888888888888884</v>
      </c>
      <c r="I87">
        <v>1</v>
      </c>
      <c r="J87" s="40" t="s">
        <v>119</v>
      </c>
      <c r="K87" s="40" t="s">
        <v>4</v>
      </c>
      <c r="M87" s="40">
        <v>4</v>
      </c>
      <c r="N87" s="40">
        <v>7</v>
      </c>
      <c r="O87" s="40">
        <v>6</v>
      </c>
      <c r="P87" s="40" t="s">
        <v>4</v>
      </c>
      <c r="Q87" s="40">
        <v>7</v>
      </c>
      <c r="R87" s="40" t="s">
        <v>50</v>
      </c>
      <c r="AB87" s="36">
        <v>72</v>
      </c>
    </row>
    <row r="88" spans="1:29" hidden="1" outlineLevel="1" x14ac:dyDescent="0.25">
      <c r="B88" s="17">
        <f t="shared" ref="B88:E89" si="18">wound($L88,$V88,$X88,$Y88,$Z88,B$3,B$4,B$6)*$S88</f>
        <v>1.5277777777777779</v>
      </c>
      <c r="C88" s="17">
        <f t="shared" si="18"/>
        <v>0.73333333333333339</v>
      </c>
      <c r="D88" s="17">
        <f t="shared" si="18"/>
        <v>0.55000000000000004</v>
      </c>
      <c r="E88" s="28">
        <f t="shared" si="18"/>
        <v>0.55000000000000004</v>
      </c>
      <c r="F88" s="38"/>
      <c r="G88" s="38"/>
      <c r="H88" s="39"/>
      <c r="L88" s="7">
        <v>4</v>
      </c>
      <c r="S88" s="7">
        <v>1</v>
      </c>
      <c r="T88" s="7" t="s">
        <v>122</v>
      </c>
      <c r="U88" s="7" t="s">
        <v>22</v>
      </c>
      <c r="V88" s="6">
        <v>4.4000000000000004</v>
      </c>
      <c r="W88" s="7" t="s">
        <v>99</v>
      </c>
      <c r="X88" s="7">
        <v>6</v>
      </c>
      <c r="Y88" s="7">
        <v>-1</v>
      </c>
      <c r="Z88" s="7">
        <v>1.5</v>
      </c>
      <c r="AA88" s="7" t="s">
        <v>123</v>
      </c>
    </row>
    <row r="89" spans="1:29" hidden="1" outlineLevel="1" x14ac:dyDescent="0.25">
      <c r="B89" s="17">
        <f t="shared" si="18"/>
        <v>0</v>
      </c>
      <c r="C89" s="17">
        <f t="shared" si="18"/>
        <v>0</v>
      </c>
      <c r="D89" s="17">
        <f t="shared" si="18"/>
        <v>0</v>
      </c>
      <c r="E89" s="28">
        <f t="shared" si="18"/>
        <v>0</v>
      </c>
      <c r="F89" s="15"/>
      <c r="G89" s="15"/>
      <c r="H89" s="27"/>
      <c r="L89" s="7">
        <v>4</v>
      </c>
    </row>
    <row r="90" spans="1:29" hidden="1" outlineLevel="1" x14ac:dyDescent="0.25">
      <c r="B90" s="17"/>
      <c r="C90" s="17"/>
      <c r="D90" s="17"/>
      <c r="E90" s="28"/>
      <c r="F90" s="15"/>
      <c r="G90" s="15"/>
      <c r="H90" s="27"/>
      <c r="L90" s="7"/>
    </row>
    <row r="91" spans="1:29" hidden="1" outlineLevel="1" x14ac:dyDescent="0.25">
      <c r="B91" s="17"/>
      <c r="C91" s="17"/>
      <c r="D91" s="17"/>
      <c r="E91" s="28"/>
      <c r="F91" s="15"/>
      <c r="G91" s="15"/>
      <c r="H91" s="27"/>
      <c r="L91" s="7"/>
    </row>
    <row r="92" spans="1:29" s="36" customFormat="1" x14ac:dyDescent="0.25">
      <c r="A92" s="36" t="s">
        <v>128</v>
      </c>
      <c r="B92" s="33">
        <f>SUM(B93:B106)/$AB92*100</f>
        <v>2.9411764705882351</v>
      </c>
      <c r="C92" s="33">
        <f>SUM(C93:C106)/$AB92*100</f>
        <v>2.2984749455337692</v>
      </c>
      <c r="D92" s="33">
        <f>SUM(D93:D106)/$AB92*100</f>
        <v>5.5337690631808281</v>
      </c>
      <c r="E92" s="57">
        <f>SUM(E93:E106)/$AB92*100</f>
        <v>4.4662309368191719</v>
      </c>
      <c r="F92" s="34">
        <f>$I92*$O92/(wound($H$1,F$3,F$4,F$5,F$6,$N92,$R92,$O92)*$AB92)/$K$3</f>
        <v>1.0823529411764707</v>
      </c>
      <c r="G92" s="34">
        <f>$I92*$O92/(wound($H$1,G$3,G$4,G$5,G$6,$N92,$R92,$O92)*$AB92)/$K$5</f>
        <v>1.0588235294117647</v>
      </c>
      <c r="H92" s="35">
        <f>$I92*$O92/(wound($H$1,H$3,H$4,H$5,H$6,$N92,$R92,$O92)*$AB92)/$K$4</f>
        <v>2.2588235294117647</v>
      </c>
      <c r="I92">
        <v>1</v>
      </c>
      <c r="J92" s="36" t="s">
        <v>217</v>
      </c>
      <c r="K92" s="36" t="s">
        <v>32</v>
      </c>
      <c r="L92" s="36">
        <v>3</v>
      </c>
      <c r="M92" s="36">
        <v>7</v>
      </c>
      <c r="N92" s="36">
        <v>8</v>
      </c>
      <c r="O92" s="36">
        <v>12</v>
      </c>
      <c r="P92" s="36" t="s">
        <v>92</v>
      </c>
      <c r="Q92" s="36">
        <v>7</v>
      </c>
      <c r="R92" s="36" t="s">
        <v>2</v>
      </c>
      <c r="AB92" s="36">
        <f>142+SUM(AC93:AC106)</f>
        <v>170</v>
      </c>
    </row>
    <row r="93" spans="1:29" outlineLevel="1" x14ac:dyDescent="0.25">
      <c r="B93" s="17">
        <f t="shared" ref="B93:E104" si="19">wound($L93,$V93,$X93,$Y93,$Z93,B$3,B$4,B$6)*$S93</f>
        <v>0</v>
      </c>
      <c r="C93" s="17">
        <f t="shared" si="19"/>
        <v>0</v>
      </c>
      <c r="D93" s="17">
        <f t="shared" si="19"/>
        <v>0</v>
      </c>
      <c r="E93" s="28">
        <f t="shared" si="19"/>
        <v>0</v>
      </c>
      <c r="F93" s="15"/>
      <c r="G93" s="15"/>
      <c r="H93" s="27"/>
      <c r="L93" s="6">
        <v>3</v>
      </c>
      <c r="S93" s="6">
        <v>0</v>
      </c>
      <c r="T93" s="7" t="s">
        <v>109</v>
      </c>
      <c r="U93" s="7" t="s">
        <v>22</v>
      </c>
      <c r="V93" s="6">
        <v>1</v>
      </c>
      <c r="W93" s="7" t="s">
        <v>88</v>
      </c>
      <c r="X93" s="7">
        <v>9</v>
      </c>
      <c r="Y93" s="7">
        <v>-3</v>
      </c>
      <c r="Z93" s="7">
        <v>3.5</v>
      </c>
      <c r="AB93" s="7">
        <v>20</v>
      </c>
      <c r="AC93" s="6">
        <f>S93*AB93</f>
        <v>0</v>
      </c>
    </row>
    <row r="94" spans="1:29" outlineLevel="1" x14ac:dyDescent="0.25">
      <c r="B94" s="17">
        <f t="shared" si="19"/>
        <v>1.1111111111111109</v>
      </c>
      <c r="C94" s="17">
        <f t="shared" si="19"/>
        <v>0.66666666666666663</v>
      </c>
      <c r="D94" s="17">
        <f t="shared" si="19"/>
        <v>0.33333333333333331</v>
      </c>
      <c r="E94" s="28">
        <f t="shared" si="19"/>
        <v>0.33333333333333331</v>
      </c>
      <c r="F94" s="15"/>
      <c r="G94" s="15"/>
      <c r="H94" s="27"/>
      <c r="L94" s="6">
        <v>3</v>
      </c>
      <c r="S94" s="6">
        <v>1</v>
      </c>
      <c r="T94" s="7" t="s">
        <v>45</v>
      </c>
      <c r="U94" s="7" t="s">
        <v>46</v>
      </c>
      <c r="V94" s="6">
        <v>3</v>
      </c>
      <c r="W94" s="7" t="s">
        <v>93</v>
      </c>
      <c r="X94" s="7">
        <v>5</v>
      </c>
      <c r="Y94" s="7">
        <v>-1</v>
      </c>
      <c r="Z94" s="7">
        <v>1</v>
      </c>
      <c r="AA94" s="7" t="s">
        <v>4</v>
      </c>
      <c r="AB94" s="7">
        <v>8</v>
      </c>
      <c r="AC94" s="6">
        <f t="shared" ref="AC94:AC106" si="20">S94*AB94</f>
        <v>8</v>
      </c>
    </row>
    <row r="95" spans="1:29" outlineLevel="1" x14ac:dyDescent="0.25">
      <c r="B95" s="17">
        <f t="shared" si="19"/>
        <v>0</v>
      </c>
      <c r="C95" s="17">
        <f t="shared" si="19"/>
        <v>0</v>
      </c>
      <c r="D95" s="17">
        <f t="shared" si="19"/>
        <v>0</v>
      </c>
      <c r="E95" s="28">
        <f t="shared" si="19"/>
        <v>0</v>
      </c>
      <c r="F95" s="15"/>
      <c r="G95" s="15"/>
      <c r="H95" s="27"/>
      <c r="L95" s="6">
        <v>3</v>
      </c>
      <c r="S95" s="6">
        <v>0</v>
      </c>
      <c r="T95" s="7" t="s">
        <v>45</v>
      </c>
      <c r="U95" s="7" t="s">
        <v>46</v>
      </c>
      <c r="V95" s="6">
        <v>3</v>
      </c>
      <c r="W95" s="7" t="s">
        <v>93</v>
      </c>
      <c r="X95" s="7">
        <v>5</v>
      </c>
      <c r="Y95" s="7">
        <v>-1</v>
      </c>
      <c r="Z95" s="7">
        <v>1</v>
      </c>
      <c r="AA95" s="7" t="s">
        <v>4</v>
      </c>
      <c r="AB95" s="11">
        <v>8</v>
      </c>
      <c r="AC95" s="6">
        <f t="shared" si="20"/>
        <v>0</v>
      </c>
    </row>
    <row r="96" spans="1:29" outlineLevel="1" x14ac:dyDescent="0.25">
      <c r="B96" s="17">
        <f t="shared" si="19"/>
        <v>0</v>
      </c>
      <c r="C96" s="17">
        <f t="shared" si="19"/>
        <v>0</v>
      </c>
      <c r="D96" s="17">
        <f t="shared" si="19"/>
        <v>0</v>
      </c>
      <c r="E96" s="28">
        <f t="shared" si="19"/>
        <v>0</v>
      </c>
      <c r="F96" s="15"/>
      <c r="G96" s="15"/>
      <c r="H96" s="27"/>
      <c r="L96" s="6">
        <v>3</v>
      </c>
      <c r="S96" s="6">
        <v>0</v>
      </c>
      <c r="T96" s="7" t="s">
        <v>40</v>
      </c>
      <c r="U96" s="7" t="s">
        <v>6</v>
      </c>
      <c r="V96" s="6">
        <v>1</v>
      </c>
      <c r="W96" s="7" t="s">
        <v>88</v>
      </c>
      <c r="X96" s="7">
        <v>8</v>
      </c>
      <c r="Y96" s="7">
        <v>-4</v>
      </c>
      <c r="Z96" s="7">
        <v>3.5</v>
      </c>
      <c r="AA96" s="7" t="s">
        <v>9</v>
      </c>
      <c r="AB96" s="6">
        <v>15</v>
      </c>
      <c r="AC96" s="6">
        <f t="shared" si="20"/>
        <v>0</v>
      </c>
    </row>
    <row r="97" spans="1:29" outlineLevel="1" x14ac:dyDescent="0.25">
      <c r="B97" s="17">
        <f t="shared" si="19"/>
        <v>0</v>
      </c>
      <c r="C97" s="17">
        <f t="shared" si="19"/>
        <v>0</v>
      </c>
      <c r="D97" s="17">
        <f t="shared" si="19"/>
        <v>0</v>
      </c>
      <c r="E97" s="28">
        <f t="shared" si="19"/>
        <v>0</v>
      </c>
      <c r="F97" s="15"/>
      <c r="G97" s="15"/>
      <c r="H97" s="27"/>
      <c r="L97" s="6">
        <v>3</v>
      </c>
      <c r="S97" s="6">
        <v>0</v>
      </c>
      <c r="T97" s="7" t="s">
        <v>129</v>
      </c>
      <c r="U97" s="7" t="s">
        <v>46</v>
      </c>
      <c r="V97" s="6">
        <v>1.5</v>
      </c>
      <c r="W97" s="7" t="s">
        <v>130</v>
      </c>
      <c r="X97" s="7">
        <v>7</v>
      </c>
      <c r="Y97" s="7">
        <v>-3</v>
      </c>
      <c r="Z97" s="7">
        <v>1</v>
      </c>
      <c r="AA97" s="7" t="s">
        <v>4</v>
      </c>
      <c r="AB97" s="7">
        <v>10</v>
      </c>
      <c r="AC97" s="6">
        <f t="shared" si="20"/>
        <v>0</v>
      </c>
    </row>
    <row r="98" spans="1:29" outlineLevel="1" x14ac:dyDescent="0.25">
      <c r="B98" s="17">
        <f t="shared" si="19"/>
        <v>0</v>
      </c>
      <c r="C98" s="17">
        <f t="shared" si="19"/>
        <v>0</v>
      </c>
      <c r="D98" s="17">
        <f t="shared" si="19"/>
        <v>0</v>
      </c>
      <c r="E98" s="28">
        <f t="shared" si="19"/>
        <v>0</v>
      </c>
      <c r="F98" s="15"/>
      <c r="G98" s="15"/>
      <c r="H98" s="27"/>
      <c r="L98" s="6">
        <v>3</v>
      </c>
      <c r="S98" s="6">
        <v>0</v>
      </c>
      <c r="T98" s="7" t="s">
        <v>131</v>
      </c>
      <c r="U98" s="7" t="s">
        <v>46</v>
      </c>
      <c r="V98" s="6">
        <v>1.5</v>
      </c>
      <c r="W98" s="7" t="s">
        <v>130</v>
      </c>
      <c r="X98" s="7">
        <v>8</v>
      </c>
      <c r="Y98" s="7">
        <v>-3</v>
      </c>
      <c r="Z98" s="7">
        <v>2</v>
      </c>
      <c r="AA98" s="7" t="s">
        <v>132</v>
      </c>
      <c r="AB98" s="7">
        <v>10</v>
      </c>
      <c r="AC98" s="6">
        <f t="shared" si="20"/>
        <v>0</v>
      </c>
    </row>
    <row r="99" spans="1:29" outlineLevel="1" x14ac:dyDescent="0.25">
      <c r="B99" s="17">
        <f>wound($L99,$V99,$X99,$Y99,$Z99,B$3,B$4,B$6)*$S99</f>
        <v>0</v>
      </c>
      <c r="C99" s="17">
        <f t="shared" si="19"/>
        <v>0</v>
      </c>
      <c r="D99" s="17">
        <f t="shared" si="19"/>
        <v>0</v>
      </c>
      <c r="E99" s="28">
        <f t="shared" si="19"/>
        <v>0</v>
      </c>
      <c r="F99" s="15"/>
      <c r="G99" s="15"/>
      <c r="H99" s="27"/>
      <c r="L99" s="6">
        <v>3</v>
      </c>
      <c r="S99" s="6">
        <v>0</v>
      </c>
      <c r="T99" s="7" t="s">
        <v>135</v>
      </c>
      <c r="U99" s="7" t="s">
        <v>43</v>
      </c>
      <c r="V99" s="6">
        <v>3.5</v>
      </c>
      <c r="W99" s="7" t="s">
        <v>99</v>
      </c>
      <c r="X99" s="7">
        <v>8</v>
      </c>
      <c r="Y99" s="7">
        <v>-2</v>
      </c>
      <c r="Z99" s="7">
        <v>1.5</v>
      </c>
      <c r="AA99" s="7" t="s">
        <v>4</v>
      </c>
      <c r="AB99" s="7">
        <v>22</v>
      </c>
      <c r="AC99" s="6">
        <f>S99*AB99/2</f>
        <v>0</v>
      </c>
    </row>
    <row r="100" spans="1:29" outlineLevel="1" x14ac:dyDescent="0.25">
      <c r="B100" s="17">
        <f>wound($L100,$V100,$X100,$Y100,$Z100,B$3,B$4,B$6)*$S100</f>
        <v>3.8888888888888893</v>
      </c>
      <c r="C100" s="17">
        <f t="shared" si="19"/>
        <v>3.2407407407407409</v>
      </c>
      <c r="D100" s="17">
        <f t="shared" si="19"/>
        <v>9.0740740740740744</v>
      </c>
      <c r="E100" s="28">
        <f t="shared" si="19"/>
        <v>7.2592592592592586</v>
      </c>
      <c r="F100" s="15"/>
      <c r="G100" s="15"/>
      <c r="H100" s="27"/>
      <c r="L100" s="6">
        <v>3</v>
      </c>
      <c r="S100" s="6">
        <v>2</v>
      </c>
      <c r="T100" s="7" t="s">
        <v>70</v>
      </c>
      <c r="U100" s="7" t="s">
        <v>6</v>
      </c>
      <c r="V100" s="6">
        <v>3.5</v>
      </c>
      <c r="W100" s="7" t="s">
        <v>196</v>
      </c>
      <c r="X100" s="7">
        <v>10</v>
      </c>
      <c r="Y100" s="7">
        <v>-3</v>
      </c>
      <c r="Z100" s="7">
        <v>3.5</v>
      </c>
      <c r="AA100" s="7"/>
      <c r="AB100" s="7">
        <v>20</v>
      </c>
      <c r="AC100" s="6">
        <f>S100*AB100/2</f>
        <v>20</v>
      </c>
    </row>
    <row r="101" spans="1:29" outlineLevel="1" x14ac:dyDescent="0.25">
      <c r="B101" s="17">
        <f t="shared" si="19"/>
        <v>0</v>
      </c>
      <c r="C101" s="17">
        <f t="shared" si="19"/>
        <v>0</v>
      </c>
      <c r="D101" s="17">
        <f t="shared" ref="D101:E106" si="21">wound($L101,$V101,$X101,$Y101,$Z101,D$3,D$4,D$6)*$S101</f>
        <v>0</v>
      </c>
      <c r="E101" s="28">
        <f t="shared" si="21"/>
        <v>0</v>
      </c>
      <c r="F101" s="15"/>
      <c r="G101" s="15"/>
      <c r="H101" s="27"/>
      <c r="L101" s="6">
        <v>3</v>
      </c>
      <c r="S101" s="6">
        <v>0</v>
      </c>
      <c r="T101" s="7" t="s">
        <v>197</v>
      </c>
      <c r="U101" s="7" t="s">
        <v>46</v>
      </c>
      <c r="V101" s="6">
        <v>3.5</v>
      </c>
      <c r="W101" s="6" t="s">
        <v>99</v>
      </c>
      <c r="X101" s="7">
        <v>6</v>
      </c>
      <c r="Y101" s="7">
        <v>-2</v>
      </c>
      <c r="Z101" s="7">
        <v>1.5</v>
      </c>
      <c r="AA101" s="7" t="s">
        <v>198</v>
      </c>
      <c r="AB101" s="7">
        <v>15</v>
      </c>
      <c r="AC101" s="6">
        <f>S101*AB101/2</f>
        <v>0</v>
      </c>
    </row>
    <row r="102" spans="1:29" outlineLevel="1" x14ac:dyDescent="0.25">
      <c r="B102" s="17">
        <f t="shared" si="19"/>
        <v>0</v>
      </c>
      <c r="C102" s="17">
        <f t="shared" si="19"/>
        <v>0</v>
      </c>
      <c r="D102" s="17">
        <f t="shared" si="21"/>
        <v>0</v>
      </c>
      <c r="E102" s="28">
        <f t="shared" si="21"/>
        <v>0</v>
      </c>
      <c r="F102" s="15"/>
      <c r="G102" s="15"/>
      <c r="H102" s="27"/>
      <c r="L102" s="6">
        <v>3</v>
      </c>
      <c r="S102" s="6">
        <v>0</v>
      </c>
      <c r="T102" t="s">
        <v>194</v>
      </c>
      <c r="U102" s="7" t="s">
        <v>46</v>
      </c>
      <c r="V102" s="6">
        <v>3.5</v>
      </c>
      <c r="W102" s="6" t="s">
        <v>99</v>
      </c>
      <c r="X102" s="7">
        <v>7</v>
      </c>
      <c r="Y102" s="7">
        <v>-3</v>
      </c>
      <c r="Z102" s="7">
        <v>1</v>
      </c>
      <c r="AA102" s="7"/>
      <c r="AB102" s="7">
        <v>15</v>
      </c>
      <c r="AC102" s="6">
        <f t="shared" ref="AC102:AC103" si="22">S102*AB102/2</f>
        <v>0</v>
      </c>
    </row>
    <row r="103" spans="1:29" outlineLevel="1" x14ac:dyDescent="0.25">
      <c r="B103" s="17">
        <f t="shared" si="19"/>
        <v>0</v>
      </c>
      <c r="C103" s="17">
        <f t="shared" si="19"/>
        <v>0</v>
      </c>
      <c r="D103" s="17">
        <f t="shared" si="21"/>
        <v>0</v>
      </c>
      <c r="E103" s="28">
        <f t="shared" si="21"/>
        <v>0</v>
      </c>
      <c r="F103" s="15"/>
      <c r="G103" s="15"/>
      <c r="H103" s="27"/>
      <c r="L103" s="6">
        <v>3</v>
      </c>
      <c r="S103" s="6">
        <v>0</v>
      </c>
      <c r="T103" t="s">
        <v>195</v>
      </c>
      <c r="U103" s="7" t="s">
        <v>46</v>
      </c>
      <c r="V103" s="6">
        <v>3.5</v>
      </c>
      <c r="W103" s="6" t="s">
        <v>196</v>
      </c>
      <c r="X103" s="7">
        <v>8</v>
      </c>
      <c r="Y103" s="7">
        <v>-3</v>
      </c>
      <c r="Z103" s="7">
        <v>2</v>
      </c>
      <c r="AA103" s="7"/>
      <c r="AB103" s="7">
        <v>15</v>
      </c>
      <c r="AC103" s="6">
        <f t="shared" si="22"/>
        <v>0</v>
      </c>
    </row>
    <row r="104" spans="1:29" outlineLevel="1" x14ac:dyDescent="0.25">
      <c r="B104" s="17">
        <f t="shared" si="19"/>
        <v>0</v>
      </c>
      <c r="C104" s="17">
        <f t="shared" si="19"/>
        <v>0</v>
      </c>
      <c r="D104" s="17">
        <f t="shared" si="21"/>
        <v>0</v>
      </c>
      <c r="E104" s="28">
        <f t="shared" si="21"/>
        <v>0</v>
      </c>
      <c r="F104" s="15"/>
      <c r="G104" s="15"/>
      <c r="H104" s="27"/>
      <c r="L104" s="6">
        <v>3</v>
      </c>
      <c r="S104" s="6">
        <v>0</v>
      </c>
      <c r="T104" s="7" t="s">
        <v>136</v>
      </c>
      <c r="U104" s="7" t="s">
        <v>22</v>
      </c>
      <c r="V104" s="6">
        <v>4</v>
      </c>
      <c r="W104" s="7" t="s">
        <v>61</v>
      </c>
      <c r="X104" s="7">
        <v>7</v>
      </c>
      <c r="Y104" s="7">
        <v>-1</v>
      </c>
      <c r="Z104" s="7">
        <v>2</v>
      </c>
      <c r="AB104" s="7">
        <v>17</v>
      </c>
      <c r="AC104" s="6">
        <f t="shared" ref="AC104:AC105" si="23">S104*AB104/2</f>
        <v>0</v>
      </c>
    </row>
    <row r="105" spans="1:29" outlineLevel="1" x14ac:dyDescent="0.25">
      <c r="B105" s="17">
        <f t="shared" ref="B105:C106" si="24">wound($L105,$V105,$X105,$Y105,$Z105,B$3,B$4,B$6)*$S105</f>
        <v>0</v>
      </c>
      <c r="C105" s="17">
        <f t="shared" si="24"/>
        <v>0</v>
      </c>
      <c r="D105" s="17">
        <f t="shared" si="21"/>
        <v>0</v>
      </c>
      <c r="E105" s="28">
        <f t="shared" si="21"/>
        <v>0</v>
      </c>
      <c r="F105" s="15"/>
      <c r="G105" s="15"/>
      <c r="H105" s="27"/>
      <c r="L105" s="6">
        <v>3</v>
      </c>
      <c r="S105" s="6">
        <v>0</v>
      </c>
      <c r="T105" s="7" t="s">
        <v>133</v>
      </c>
      <c r="U105" s="7" t="s">
        <v>6</v>
      </c>
      <c r="V105" s="6">
        <v>20</v>
      </c>
      <c r="W105" s="7" t="s">
        <v>134</v>
      </c>
      <c r="X105" s="7">
        <v>5</v>
      </c>
      <c r="Y105" s="7">
        <v>0</v>
      </c>
      <c r="Z105" s="7">
        <v>1</v>
      </c>
      <c r="AA105" s="7" t="s">
        <v>4</v>
      </c>
      <c r="AB105" s="7">
        <v>20</v>
      </c>
      <c r="AC105" s="6">
        <f t="shared" si="23"/>
        <v>0</v>
      </c>
    </row>
    <row r="106" spans="1:29" outlineLevel="1" x14ac:dyDescent="0.25">
      <c r="B106" s="17">
        <f t="shared" si="24"/>
        <v>0</v>
      </c>
      <c r="C106" s="17">
        <f t="shared" si="24"/>
        <v>0</v>
      </c>
      <c r="D106" s="17">
        <f t="shared" si="21"/>
        <v>0</v>
      </c>
      <c r="E106" s="28">
        <f t="shared" si="21"/>
        <v>0</v>
      </c>
      <c r="F106" s="15"/>
      <c r="G106" s="15"/>
      <c r="H106" s="27"/>
      <c r="L106" s="6">
        <v>3</v>
      </c>
      <c r="T106" s="7" t="s">
        <v>137</v>
      </c>
      <c r="AB106" s="7">
        <v>10</v>
      </c>
      <c r="AC106" s="6">
        <f t="shared" si="20"/>
        <v>0</v>
      </c>
    </row>
    <row r="107" spans="1:29" s="31" customFormat="1" outlineLevel="1" x14ac:dyDescent="0.25">
      <c r="E107" s="58"/>
      <c r="F107" s="30"/>
      <c r="G107" s="30"/>
      <c r="H107" s="52"/>
      <c r="I107"/>
    </row>
    <row r="108" spans="1:29" s="36" customFormat="1" x14ac:dyDescent="0.25">
      <c r="A108" s="36" t="s">
        <v>138</v>
      </c>
      <c r="B108" s="33">
        <f>SUM(B109:B123)/$AB108*100</f>
        <v>2.0576131687242794</v>
      </c>
      <c r="C108" s="33">
        <f>SUM(C109:C123)/$AB108*100</f>
        <v>1.7146776406035666</v>
      </c>
      <c r="D108" s="33">
        <f>SUM(D109:D123)/$AB108*100</f>
        <v>4.801097393689985</v>
      </c>
      <c r="E108" s="57">
        <f>SUM(E109:E123)/$AB108*100</f>
        <v>3.8408779149519887</v>
      </c>
      <c r="F108" s="34">
        <f>$I108*$O108/(wound($H$1,F$3,F$4,F$5,F$6,$N108,$R108,$O108)*$AB108)/$K$3</f>
        <v>1.1358024691358026</v>
      </c>
      <c r="G108" s="34">
        <f>$I108*$O108/(wound($H$1,G$3,G$4,G$5,G$6,$N108,$R108,$O108)*$AB108)/$K$5</f>
        <v>1.1111111111111109</v>
      </c>
      <c r="H108" s="35">
        <f>$I108*$O108/(wound($H$1,H$3,H$4,H$5,H$6,$N108,$R108,$O108)*$AB108)/$K$4</f>
        <v>2.3703703703703702</v>
      </c>
      <c r="I108">
        <v>1</v>
      </c>
      <c r="J108" s="36" t="s">
        <v>217</v>
      </c>
      <c r="K108" s="36" t="s">
        <v>32</v>
      </c>
      <c r="L108" s="36">
        <v>4</v>
      </c>
      <c r="M108" s="36">
        <v>7</v>
      </c>
      <c r="N108" s="36">
        <v>8</v>
      </c>
      <c r="O108" s="36">
        <v>12</v>
      </c>
      <c r="P108" s="36" t="s">
        <v>92</v>
      </c>
      <c r="Q108" s="36">
        <v>7</v>
      </c>
      <c r="R108" s="36" t="s">
        <v>2</v>
      </c>
      <c r="AB108" s="36">
        <f>122+SUM(AC109:AC123)</f>
        <v>162</v>
      </c>
    </row>
    <row r="109" spans="1:29" outlineLevel="1" x14ac:dyDescent="0.25">
      <c r="B109" s="17">
        <f t="shared" ref="B109:E123" si="25">wound($L109,$V109,$X109,$Y109,$Z109,B$3,B$4,B$6)*$S109</f>
        <v>0.41666666666666669</v>
      </c>
      <c r="C109" s="17">
        <f t="shared" si="25"/>
        <v>0.34722222222222227</v>
      </c>
      <c r="D109" s="17">
        <f t="shared" si="25"/>
        <v>0.9722222222222221</v>
      </c>
      <c r="E109" s="28">
        <f t="shared" si="25"/>
        <v>0.77777777777777768</v>
      </c>
      <c r="F109" s="15"/>
      <c r="G109" s="15"/>
      <c r="H109" s="27"/>
      <c r="L109" s="6">
        <v>4</v>
      </c>
      <c r="S109" s="6">
        <v>1</v>
      </c>
      <c r="T109" s="7" t="s">
        <v>109</v>
      </c>
      <c r="U109" s="7" t="s">
        <v>22</v>
      </c>
      <c r="V109" s="6">
        <v>1</v>
      </c>
      <c r="W109" s="7" t="s">
        <v>88</v>
      </c>
      <c r="X109" s="7">
        <v>9</v>
      </c>
      <c r="Y109" s="7">
        <v>-3</v>
      </c>
      <c r="Z109" s="7">
        <v>3.5</v>
      </c>
      <c r="AB109" s="7">
        <v>20</v>
      </c>
      <c r="AC109" s="6">
        <f>S109*AB109</f>
        <v>20</v>
      </c>
    </row>
    <row r="110" spans="1:29" outlineLevel="1" x14ac:dyDescent="0.25">
      <c r="B110" s="17">
        <f t="shared" si="25"/>
        <v>0</v>
      </c>
      <c r="C110" s="17">
        <f t="shared" si="25"/>
        <v>0</v>
      </c>
      <c r="D110" s="17">
        <f t="shared" si="25"/>
        <v>0</v>
      </c>
      <c r="E110" s="28">
        <f t="shared" si="25"/>
        <v>0</v>
      </c>
      <c r="F110" s="15"/>
      <c r="G110" s="15"/>
      <c r="H110" s="27"/>
      <c r="L110" s="6">
        <v>4</v>
      </c>
      <c r="S110" s="6">
        <v>0</v>
      </c>
      <c r="T110" s="7" t="s">
        <v>45</v>
      </c>
      <c r="U110" s="7" t="s">
        <v>46</v>
      </c>
      <c r="V110" s="6">
        <v>3</v>
      </c>
      <c r="W110" s="7" t="s">
        <v>93</v>
      </c>
      <c r="X110" s="7">
        <v>5</v>
      </c>
      <c r="Y110" s="7">
        <v>-1</v>
      </c>
      <c r="Z110" s="7">
        <v>1</v>
      </c>
      <c r="AA110" s="7" t="s">
        <v>4</v>
      </c>
      <c r="AB110" s="7">
        <v>8</v>
      </c>
      <c r="AC110" s="6">
        <f t="shared" ref="AC110:AC123" si="26">S110*AB110</f>
        <v>0</v>
      </c>
    </row>
    <row r="111" spans="1:29" outlineLevel="1" x14ac:dyDescent="0.25">
      <c r="B111" s="17">
        <f t="shared" si="25"/>
        <v>0</v>
      </c>
      <c r="C111" s="17">
        <f t="shared" si="25"/>
        <v>0</v>
      </c>
      <c r="D111" s="17">
        <f t="shared" si="25"/>
        <v>0</v>
      </c>
      <c r="E111" s="28">
        <f t="shared" si="25"/>
        <v>0</v>
      </c>
      <c r="F111" s="15"/>
      <c r="G111" s="15"/>
      <c r="H111" s="27"/>
      <c r="L111" s="6">
        <v>4</v>
      </c>
      <c r="S111" s="6">
        <v>0</v>
      </c>
      <c r="T111" s="7" t="s">
        <v>45</v>
      </c>
      <c r="U111" s="7" t="s">
        <v>46</v>
      </c>
      <c r="V111" s="6">
        <v>3</v>
      </c>
      <c r="W111" s="7" t="s">
        <v>93</v>
      </c>
      <c r="X111" s="7">
        <v>5</v>
      </c>
      <c r="Y111" s="7">
        <v>-1</v>
      </c>
      <c r="Z111" s="7">
        <v>1</v>
      </c>
      <c r="AA111" s="7" t="s">
        <v>4</v>
      </c>
      <c r="AB111" s="11">
        <v>8</v>
      </c>
      <c r="AC111" s="6">
        <f t="shared" si="26"/>
        <v>0</v>
      </c>
    </row>
    <row r="112" spans="1:29" outlineLevel="1" x14ac:dyDescent="0.25">
      <c r="B112" s="17">
        <f t="shared" si="25"/>
        <v>0</v>
      </c>
      <c r="C112" s="17">
        <f t="shared" si="25"/>
        <v>0</v>
      </c>
      <c r="D112" s="17">
        <f t="shared" si="25"/>
        <v>0</v>
      </c>
      <c r="E112" s="28">
        <f t="shared" si="25"/>
        <v>0</v>
      </c>
      <c r="F112" s="15"/>
      <c r="G112" s="15"/>
      <c r="H112" s="27"/>
      <c r="L112" s="6">
        <v>4</v>
      </c>
      <c r="S112" s="6">
        <v>0</v>
      </c>
      <c r="T112" s="7" t="s">
        <v>40</v>
      </c>
      <c r="U112" s="7" t="s">
        <v>6</v>
      </c>
      <c r="V112" s="6">
        <v>1</v>
      </c>
      <c r="W112" s="7" t="s">
        <v>88</v>
      </c>
      <c r="X112" s="7">
        <v>8</v>
      </c>
      <c r="Y112" s="7">
        <v>-4</v>
      </c>
      <c r="Z112" s="7">
        <v>3.5</v>
      </c>
      <c r="AA112" s="7" t="s">
        <v>9</v>
      </c>
      <c r="AB112" s="6">
        <v>15</v>
      </c>
      <c r="AC112" s="6">
        <f t="shared" si="26"/>
        <v>0</v>
      </c>
    </row>
    <row r="113" spans="1:29" outlineLevel="1" x14ac:dyDescent="0.25">
      <c r="B113" s="17">
        <f t="shared" si="25"/>
        <v>0</v>
      </c>
      <c r="C113" s="17">
        <f t="shared" si="25"/>
        <v>0</v>
      </c>
      <c r="D113" s="17">
        <f t="shared" si="25"/>
        <v>0</v>
      </c>
      <c r="E113" s="28">
        <f t="shared" si="25"/>
        <v>0</v>
      </c>
      <c r="F113" s="15"/>
      <c r="G113" s="15"/>
      <c r="H113" s="27"/>
      <c r="L113" s="6">
        <v>4</v>
      </c>
      <c r="S113" s="6">
        <v>0</v>
      </c>
      <c r="T113" s="7" t="s">
        <v>129</v>
      </c>
      <c r="U113" s="7" t="s">
        <v>46</v>
      </c>
      <c r="V113" s="6">
        <v>1.5</v>
      </c>
      <c r="W113" s="7" t="s">
        <v>130</v>
      </c>
      <c r="X113" s="7">
        <v>7</v>
      </c>
      <c r="Y113" s="7">
        <v>-3</v>
      </c>
      <c r="Z113" s="7">
        <v>1</v>
      </c>
      <c r="AA113" s="7" t="s">
        <v>4</v>
      </c>
      <c r="AB113" s="7">
        <v>10</v>
      </c>
      <c r="AC113" s="6">
        <f t="shared" si="26"/>
        <v>0</v>
      </c>
    </row>
    <row r="114" spans="1:29" outlineLevel="1" x14ac:dyDescent="0.25">
      <c r="B114" s="17">
        <f t="shared" si="25"/>
        <v>0</v>
      </c>
      <c r="C114" s="17">
        <f t="shared" si="25"/>
        <v>0</v>
      </c>
      <c r="D114" s="17">
        <f t="shared" si="25"/>
        <v>0</v>
      </c>
      <c r="E114" s="28">
        <f t="shared" si="25"/>
        <v>0</v>
      </c>
      <c r="F114" s="15"/>
      <c r="G114" s="15"/>
      <c r="H114" s="27"/>
      <c r="L114" s="6">
        <v>4</v>
      </c>
      <c r="S114" s="6">
        <v>0</v>
      </c>
      <c r="T114" s="7" t="s">
        <v>131</v>
      </c>
      <c r="U114" s="7" t="s">
        <v>46</v>
      </c>
      <c r="V114" s="6">
        <v>1.5</v>
      </c>
      <c r="W114" s="7" t="s">
        <v>130</v>
      </c>
      <c r="X114" s="7">
        <v>8</v>
      </c>
      <c r="Y114" s="7">
        <v>-3</v>
      </c>
      <c r="Z114" s="7">
        <v>2</v>
      </c>
      <c r="AA114" s="7" t="s">
        <v>132</v>
      </c>
      <c r="AB114" s="7">
        <v>10</v>
      </c>
      <c r="AC114" s="6">
        <f t="shared" si="26"/>
        <v>0</v>
      </c>
    </row>
    <row r="115" spans="1:29" outlineLevel="1" x14ac:dyDescent="0.25">
      <c r="B115" s="17">
        <f t="shared" si="25"/>
        <v>0</v>
      </c>
      <c r="C115" s="17">
        <f t="shared" si="25"/>
        <v>0</v>
      </c>
      <c r="D115" s="17">
        <f t="shared" si="25"/>
        <v>0</v>
      </c>
      <c r="E115" s="28">
        <f t="shared" si="25"/>
        <v>0</v>
      </c>
      <c r="F115" s="15"/>
      <c r="G115" s="15"/>
      <c r="H115" s="27"/>
      <c r="L115" s="6">
        <v>4</v>
      </c>
      <c r="S115" s="6">
        <v>0</v>
      </c>
      <c r="T115" s="7" t="s">
        <v>135</v>
      </c>
      <c r="U115" s="7" t="s">
        <v>43</v>
      </c>
      <c r="V115" s="6">
        <v>3.5</v>
      </c>
      <c r="W115" s="7" t="s">
        <v>99</v>
      </c>
      <c r="X115" s="7">
        <v>8</v>
      </c>
      <c r="Y115" s="7">
        <v>-2</v>
      </c>
      <c r="Z115" s="7">
        <v>2</v>
      </c>
      <c r="AA115" s="7" t="s">
        <v>4</v>
      </c>
      <c r="AB115" s="7">
        <v>22</v>
      </c>
      <c r="AC115" s="6">
        <f>S115*AB115/2</f>
        <v>0</v>
      </c>
    </row>
    <row r="116" spans="1:29" outlineLevel="1" x14ac:dyDescent="0.25">
      <c r="B116" s="17">
        <f t="shared" si="25"/>
        <v>2.9166666666666665</v>
      </c>
      <c r="C116" s="17">
        <f t="shared" si="25"/>
        <v>2.4305555555555558</v>
      </c>
      <c r="D116" s="17">
        <f t="shared" si="25"/>
        <v>6.8055555555555536</v>
      </c>
      <c r="E116" s="28">
        <f t="shared" si="25"/>
        <v>5.4444444444444438</v>
      </c>
      <c r="F116" s="15"/>
      <c r="G116" s="15"/>
      <c r="H116" s="27"/>
      <c r="L116" s="6">
        <v>4</v>
      </c>
      <c r="S116" s="6">
        <v>2</v>
      </c>
      <c r="T116" s="7" t="s">
        <v>70</v>
      </c>
      <c r="U116" s="7" t="s">
        <v>6</v>
      </c>
      <c r="V116" s="6">
        <v>3.5</v>
      </c>
      <c r="W116" s="7" t="s">
        <v>196</v>
      </c>
      <c r="X116" s="7">
        <v>10</v>
      </c>
      <c r="Y116" s="7">
        <v>-3</v>
      </c>
      <c r="Z116" s="7">
        <v>3.5</v>
      </c>
      <c r="AA116" s="7"/>
      <c r="AB116" s="7">
        <v>20</v>
      </c>
      <c r="AC116" s="6">
        <f>S116*AB116/2</f>
        <v>20</v>
      </c>
    </row>
    <row r="117" spans="1:29" outlineLevel="1" x14ac:dyDescent="0.25">
      <c r="B117" s="17">
        <f t="shared" si="25"/>
        <v>0</v>
      </c>
      <c r="C117" s="17">
        <f t="shared" si="25"/>
        <v>0</v>
      </c>
      <c r="D117" s="17">
        <f t="shared" si="25"/>
        <v>0</v>
      </c>
      <c r="E117" s="28">
        <f t="shared" si="25"/>
        <v>0</v>
      </c>
      <c r="F117" s="15"/>
      <c r="G117" s="15"/>
      <c r="H117" s="27"/>
      <c r="L117" s="6">
        <v>4</v>
      </c>
      <c r="S117" s="6">
        <v>0</v>
      </c>
      <c r="T117" s="7" t="s">
        <v>136</v>
      </c>
      <c r="U117" s="7" t="s">
        <v>22</v>
      </c>
      <c r="V117" s="6">
        <v>4</v>
      </c>
      <c r="W117" s="7" t="s">
        <v>61</v>
      </c>
      <c r="X117" s="7">
        <v>7</v>
      </c>
      <c r="Y117" s="7">
        <v>-1</v>
      </c>
      <c r="Z117" s="7">
        <v>2</v>
      </c>
      <c r="AB117" s="7">
        <v>17</v>
      </c>
      <c r="AC117" s="6">
        <f t="shared" ref="AC117:AC121" si="27">S117*AB117/2</f>
        <v>0</v>
      </c>
    </row>
    <row r="118" spans="1:29" outlineLevel="1" x14ac:dyDescent="0.25">
      <c r="B118" s="17">
        <f t="shared" si="25"/>
        <v>0</v>
      </c>
      <c r="C118" s="17">
        <f t="shared" si="25"/>
        <v>0</v>
      </c>
      <c r="D118" s="17">
        <f t="shared" si="25"/>
        <v>0</v>
      </c>
      <c r="E118" s="28">
        <f t="shared" si="25"/>
        <v>0</v>
      </c>
      <c r="F118" s="15"/>
      <c r="G118" s="15"/>
      <c r="H118" s="27"/>
      <c r="L118" s="6">
        <v>2.5</v>
      </c>
      <c r="S118" s="6">
        <v>0</v>
      </c>
      <c r="T118" s="7" t="s">
        <v>139</v>
      </c>
      <c r="U118" s="7" t="s">
        <v>22</v>
      </c>
      <c r="V118" s="6">
        <v>3.5</v>
      </c>
      <c r="W118" s="7" t="s">
        <v>99</v>
      </c>
      <c r="X118" s="7">
        <v>8</v>
      </c>
      <c r="Y118" s="7">
        <v>-2</v>
      </c>
      <c r="Z118" s="7">
        <v>2</v>
      </c>
      <c r="AB118" s="7">
        <v>5</v>
      </c>
      <c r="AC118" s="6">
        <f t="shared" si="27"/>
        <v>0</v>
      </c>
    </row>
    <row r="119" spans="1:29" outlineLevel="1" x14ac:dyDescent="0.25">
      <c r="B119" s="17">
        <f t="shared" si="25"/>
        <v>0</v>
      </c>
      <c r="C119" s="17">
        <f t="shared" si="25"/>
        <v>0</v>
      </c>
      <c r="D119" s="17">
        <f t="shared" si="25"/>
        <v>0</v>
      </c>
      <c r="E119" s="28">
        <f t="shared" si="25"/>
        <v>0</v>
      </c>
      <c r="F119" s="15"/>
      <c r="G119" s="15"/>
      <c r="H119" s="27"/>
      <c r="L119" s="6">
        <v>4</v>
      </c>
      <c r="S119" s="6">
        <v>0</v>
      </c>
      <c r="T119" t="s">
        <v>194</v>
      </c>
      <c r="U119" s="7" t="s">
        <v>46</v>
      </c>
      <c r="V119" s="6">
        <v>3.5</v>
      </c>
      <c r="W119" s="6" t="s">
        <v>99</v>
      </c>
      <c r="X119" s="7">
        <v>7</v>
      </c>
      <c r="Y119" s="7">
        <v>-3</v>
      </c>
      <c r="Z119" s="7">
        <v>1</v>
      </c>
      <c r="AA119" s="7"/>
      <c r="AB119" s="7">
        <v>15</v>
      </c>
      <c r="AC119" s="6">
        <f t="shared" si="27"/>
        <v>0</v>
      </c>
    </row>
    <row r="120" spans="1:29" outlineLevel="1" x14ac:dyDescent="0.25">
      <c r="B120" s="17">
        <f t="shared" si="25"/>
        <v>0</v>
      </c>
      <c r="C120" s="17">
        <f t="shared" si="25"/>
        <v>0</v>
      </c>
      <c r="D120" s="17">
        <f t="shared" si="25"/>
        <v>0</v>
      </c>
      <c r="E120" s="28">
        <f t="shared" si="25"/>
        <v>0</v>
      </c>
      <c r="F120" s="15"/>
      <c r="G120" s="15"/>
      <c r="H120" s="27"/>
      <c r="L120" s="6">
        <v>4</v>
      </c>
      <c r="S120" s="6">
        <v>0</v>
      </c>
      <c r="T120" t="s">
        <v>195</v>
      </c>
      <c r="U120" s="7" t="s">
        <v>46</v>
      </c>
      <c r="V120" s="6">
        <v>3.5</v>
      </c>
      <c r="W120" s="6" t="s">
        <v>196</v>
      </c>
      <c r="X120" s="7">
        <v>8</v>
      </c>
      <c r="Y120" s="7">
        <v>-3</v>
      </c>
      <c r="Z120" s="7">
        <v>2</v>
      </c>
      <c r="AA120" s="7"/>
      <c r="AB120" s="7">
        <v>15</v>
      </c>
      <c r="AC120" s="6">
        <f t="shared" si="27"/>
        <v>0</v>
      </c>
    </row>
    <row r="121" spans="1:29" outlineLevel="1" x14ac:dyDescent="0.25">
      <c r="B121" s="17">
        <f t="shared" si="25"/>
        <v>0</v>
      </c>
      <c r="C121" s="17">
        <f t="shared" si="25"/>
        <v>0</v>
      </c>
      <c r="D121" s="17">
        <f t="shared" si="25"/>
        <v>0</v>
      </c>
      <c r="E121" s="28">
        <f t="shared" si="25"/>
        <v>0</v>
      </c>
      <c r="F121" s="15"/>
      <c r="G121" s="15"/>
      <c r="H121" s="27"/>
      <c r="L121" s="6">
        <v>4</v>
      </c>
      <c r="S121" s="6">
        <v>0</v>
      </c>
      <c r="T121" s="7" t="s">
        <v>133</v>
      </c>
      <c r="U121" s="7" t="s">
        <v>6</v>
      </c>
      <c r="V121" s="6">
        <v>20</v>
      </c>
      <c r="W121" s="7" t="s">
        <v>134</v>
      </c>
      <c r="X121" s="7">
        <v>5</v>
      </c>
      <c r="Y121" s="7">
        <v>0</v>
      </c>
      <c r="Z121" s="7">
        <v>1</v>
      </c>
      <c r="AA121" s="7" t="s">
        <v>4</v>
      </c>
      <c r="AB121" s="7">
        <v>20</v>
      </c>
      <c r="AC121" s="6">
        <f t="shared" si="27"/>
        <v>0</v>
      </c>
    </row>
    <row r="122" spans="1:29" outlineLevel="1" x14ac:dyDescent="0.25">
      <c r="B122" s="17">
        <f t="shared" si="25"/>
        <v>0</v>
      </c>
      <c r="C122" s="17">
        <f t="shared" si="25"/>
        <v>0</v>
      </c>
      <c r="D122" s="17">
        <f t="shared" si="25"/>
        <v>0</v>
      </c>
      <c r="E122" s="28">
        <f t="shared" si="25"/>
        <v>0</v>
      </c>
      <c r="F122" s="15"/>
      <c r="G122" s="15"/>
      <c r="H122" s="27"/>
      <c r="L122" s="6">
        <v>4</v>
      </c>
      <c r="S122" s="6">
        <v>0</v>
      </c>
      <c r="T122" s="7" t="s">
        <v>193</v>
      </c>
      <c r="U122" s="7" t="s">
        <v>22</v>
      </c>
      <c r="V122" s="6">
        <v>2</v>
      </c>
      <c r="W122" s="6" t="s">
        <v>67</v>
      </c>
      <c r="X122" s="7">
        <v>9</v>
      </c>
      <c r="Y122" s="7">
        <v>-3</v>
      </c>
      <c r="Z122" s="7">
        <v>3.5</v>
      </c>
      <c r="AA122" s="7"/>
      <c r="AB122" s="7">
        <v>40</v>
      </c>
      <c r="AC122" s="6">
        <f>S122*AB122/2</f>
        <v>0</v>
      </c>
    </row>
    <row r="123" spans="1:29" outlineLevel="1" x14ac:dyDescent="0.25">
      <c r="B123" s="17">
        <f t="shared" si="25"/>
        <v>0</v>
      </c>
      <c r="C123" s="17">
        <f t="shared" si="25"/>
        <v>0</v>
      </c>
      <c r="D123" s="17">
        <f t="shared" si="25"/>
        <v>0</v>
      </c>
      <c r="E123" s="28">
        <f t="shared" si="25"/>
        <v>0</v>
      </c>
      <c r="F123" s="15"/>
      <c r="G123" s="15"/>
      <c r="H123" s="27"/>
      <c r="L123" s="6">
        <v>4</v>
      </c>
      <c r="T123" s="7" t="s">
        <v>137</v>
      </c>
      <c r="AB123" s="7">
        <v>10</v>
      </c>
      <c r="AC123" s="6">
        <f t="shared" si="26"/>
        <v>0</v>
      </c>
    </row>
    <row r="124" spans="1:29" s="19" customFormat="1" outlineLevel="1" x14ac:dyDescent="0.25">
      <c r="E124" s="59"/>
      <c r="F124" s="18"/>
      <c r="G124" s="18"/>
      <c r="H124" s="29"/>
      <c r="I124"/>
    </row>
    <row r="125" spans="1:29" s="31" customFormat="1" collapsed="1" x14ac:dyDescent="0.25">
      <c r="A125" s="63" t="s">
        <v>208</v>
      </c>
      <c r="B125" s="33">
        <f>SUM(B126:B136)/$AB125*100</f>
        <v>4</v>
      </c>
      <c r="C125" s="33">
        <f>SUM(C126:C136)/$AB125*100</f>
        <v>1.9166666666666665</v>
      </c>
      <c r="D125" s="33">
        <f>SUM(D126:D136)/$AB125*100</f>
        <v>1</v>
      </c>
      <c r="E125" s="57">
        <f>SUM(E126:E136)/$AB125*100</f>
        <v>0.91666666666666663</v>
      </c>
      <c r="F125" s="34">
        <f>$I125*$O125/(wound($H$1,F$3,F$4,F$5,F$6,$N125,$R125,$O125)*$AB125)/$K$3</f>
        <v>1.5333333333333337</v>
      </c>
      <c r="G125" s="34">
        <f>$I125*$O125/(wound($H$1,G$3,G$4,G$5,G$6,$N125,$R125,$O125)*$AB125)/$K$5</f>
        <v>1.5000000000000002</v>
      </c>
      <c r="H125" s="35">
        <f>$I125*$O125/(wound($H$1,H$3,H$4,H$5,H$6,$N125,$R125,$O125)*$AB125)/$K$4</f>
        <v>1.6</v>
      </c>
      <c r="I125">
        <v>1</v>
      </c>
      <c r="J125" s="3" t="s">
        <v>217</v>
      </c>
      <c r="K125" s="3" t="s">
        <v>32</v>
      </c>
      <c r="L125" s="3" t="s">
        <v>92</v>
      </c>
      <c r="M125" s="3">
        <v>6</v>
      </c>
      <c r="N125" s="3">
        <v>7</v>
      </c>
      <c r="O125" s="3">
        <v>10</v>
      </c>
      <c r="P125" s="3" t="s">
        <v>92</v>
      </c>
      <c r="Q125" s="3">
        <v>7</v>
      </c>
      <c r="R125" s="3" t="s">
        <v>2</v>
      </c>
      <c r="AB125" s="63">
        <f>60+SUM(AC126:AC136)</f>
        <v>100</v>
      </c>
    </row>
    <row r="126" spans="1:29" s="31" customFormat="1" hidden="1" outlineLevel="1" x14ac:dyDescent="0.25">
      <c r="A126" s="63"/>
      <c r="B126" s="17">
        <f>wound($L126,$V126,$X126,$Y126,$Z126,B$3,B$4,B$6)*$S126</f>
        <v>0</v>
      </c>
      <c r="C126" s="17">
        <f t="shared" ref="C126:E136" si="28">wound($L126,$V126,$X126,$Y126,$Z126,C$3,C$4,C$6)*$S126</f>
        <v>0</v>
      </c>
      <c r="D126" s="17">
        <f t="shared" si="28"/>
        <v>0</v>
      </c>
      <c r="E126" s="28">
        <f t="shared" si="28"/>
        <v>0</v>
      </c>
      <c r="F126" s="30"/>
      <c r="G126" s="30"/>
      <c r="H126" s="52"/>
      <c r="I126"/>
      <c r="J126" s="3"/>
      <c r="K126" s="3"/>
      <c r="L126" s="3">
        <v>4</v>
      </c>
      <c r="M126" s="3"/>
      <c r="N126" s="3"/>
      <c r="O126" s="3"/>
      <c r="P126" s="3"/>
      <c r="Q126" s="3"/>
      <c r="R126" s="3"/>
      <c r="S126" s="63">
        <v>0</v>
      </c>
      <c r="T126" s="63" t="s">
        <v>109</v>
      </c>
      <c r="U126" s="63" t="s">
        <v>22</v>
      </c>
      <c r="V126" s="63">
        <v>1</v>
      </c>
      <c r="W126" s="63" t="s">
        <v>88</v>
      </c>
      <c r="X126" s="63">
        <v>9</v>
      </c>
      <c r="Y126" s="63">
        <v>-3</v>
      </c>
      <c r="Z126" s="63">
        <v>3.5</v>
      </c>
      <c r="AA126" s="63"/>
      <c r="AB126" s="63">
        <v>20</v>
      </c>
      <c r="AC126" s="63">
        <f>S126*AB126</f>
        <v>0</v>
      </c>
    </row>
    <row r="127" spans="1:29" s="31" customFormat="1" hidden="1" outlineLevel="1" x14ac:dyDescent="0.25">
      <c r="A127" s="63"/>
      <c r="B127" s="17">
        <f t="shared" ref="B127:B136" si="29">wound($L127,$V127,$X127,$Y127,$Z127,B$3,B$4,B$6)*$S127</f>
        <v>1.6666666666666667</v>
      </c>
      <c r="C127" s="17">
        <f t="shared" si="28"/>
        <v>1</v>
      </c>
      <c r="D127" s="17">
        <f t="shared" si="28"/>
        <v>0.5</v>
      </c>
      <c r="E127" s="28">
        <f t="shared" si="28"/>
        <v>0.5</v>
      </c>
      <c r="F127" s="30"/>
      <c r="G127" s="30"/>
      <c r="H127" s="52"/>
      <c r="I127"/>
      <c r="J127" s="3"/>
      <c r="K127" s="3"/>
      <c r="L127" s="3">
        <v>4</v>
      </c>
      <c r="M127" s="3"/>
      <c r="N127" s="3"/>
      <c r="O127" s="3"/>
      <c r="P127" s="3"/>
      <c r="Q127" s="3"/>
      <c r="R127" s="3"/>
      <c r="S127" s="63">
        <v>2</v>
      </c>
      <c r="T127" s="63" t="s">
        <v>45</v>
      </c>
      <c r="U127" s="63" t="s">
        <v>46</v>
      </c>
      <c r="V127" s="63">
        <v>3</v>
      </c>
      <c r="W127" s="63" t="s">
        <v>93</v>
      </c>
      <c r="X127" s="63">
        <v>5</v>
      </c>
      <c r="Y127" s="63">
        <v>-1</v>
      </c>
      <c r="Z127" s="63">
        <v>1</v>
      </c>
      <c r="AA127" s="63" t="s">
        <v>4</v>
      </c>
      <c r="AB127" s="63">
        <v>8</v>
      </c>
      <c r="AC127" s="63">
        <f t="shared" ref="AC127:AC136" si="30">S127*AB127</f>
        <v>16</v>
      </c>
    </row>
    <row r="128" spans="1:29" s="31" customFormat="1" hidden="1" outlineLevel="1" x14ac:dyDescent="0.25">
      <c r="A128" s="63"/>
      <c r="B128" s="17">
        <f t="shared" si="29"/>
        <v>0.66666666666666663</v>
      </c>
      <c r="C128" s="17">
        <f t="shared" si="28"/>
        <v>0.25</v>
      </c>
      <c r="D128" s="17">
        <f t="shared" si="28"/>
        <v>0.16666666666666666</v>
      </c>
      <c r="E128" s="28">
        <f t="shared" si="28"/>
        <v>8.3333333333333329E-2</v>
      </c>
      <c r="F128" s="30"/>
      <c r="G128" s="30"/>
      <c r="H128" s="52"/>
      <c r="I128"/>
      <c r="J128" s="3"/>
      <c r="K128" s="3"/>
      <c r="L128" s="3">
        <v>4</v>
      </c>
      <c r="M128" s="3"/>
      <c r="N128" s="3"/>
      <c r="O128" s="3"/>
      <c r="P128" s="3"/>
      <c r="Q128" s="3"/>
      <c r="R128" s="3"/>
      <c r="S128" s="63">
        <v>1</v>
      </c>
      <c r="T128" s="7" t="s">
        <v>94</v>
      </c>
      <c r="U128" s="7" t="s">
        <v>46</v>
      </c>
      <c r="V128" s="13">
        <v>3</v>
      </c>
      <c r="W128" s="7" t="s">
        <v>93</v>
      </c>
      <c r="X128" s="7">
        <v>4</v>
      </c>
      <c r="Y128" s="7">
        <v>0</v>
      </c>
      <c r="Z128" s="7">
        <v>1</v>
      </c>
      <c r="AA128" s="63"/>
      <c r="AB128" s="64">
        <v>4</v>
      </c>
      <c r="AC128" s="63">
        <f t="shared" si="30"/>
        <v>4</v>
      </c>
    </row>
    <row r="129" spans="1:29" s="31" customFormat="1" hidden="1" outlineLevel="1" x14ac:dyDescent="0.25">
      <c r="A129" s="63"/>
      <c r="B129" s="17">
        <f t="shared" si="29"/>
        <v>0</v>
      </c>
      <c r="C129" s="17">
        <f t="shared" si="28"/>
        <v>0</v>
      </c>
      <c r="D129" s="17">
        <f t="shared" si="28"/>
        <v>0</v>
      </c>
      <c r="E129" s="28">
        <f t="shared" si="28"/>
        <v>0</v>
      </c>
      <c r="F129" s="30"/>
      <c r="G129" s="30"/>
      <c r="H129" s="52"/>
      <c r="I129"/>
      <c r="J129" s="3"/>
      <c r="K129" s="3"/>
      <c r="L129" s="3">
        <v>4</v>
      </c>
      <c r="M129" s="3"/>
      <c r="N129" s="3"/>
      <c r="O129" s="3"/>
      <c r="P129" s="3"/>
      <c r="Q129" s="3"/>
      <c r="R129" s="3"/>
      <c r="S129" s="63"/>
      <c r="T129" s="7" t="s">
        <v>98</v>
      </c>
      <c r="U129" s="7" t="s">
        <v>49</v>
      </c>
      <c r="V129" s="6">
        <v>3.5</v>
      </c>
      <c r="W129" s="7" t="s">
        <v>99</v>
      </c>
      <c r="X129" s="7">
        <v>5</v>
      </c>
      <c r="Y129" s="7">
        <v>-1</v>
      </c>
      <c r="Z129" s="7">
        <v>1</v>
      </c>
      <c r="AA129" s="63"/>
      <c r="AB129" s="64">
        <v>17</v>
      </c>
      <c r="AC129" s="63">
        <f t="shared" si="30"/>
        <v>0</v>
      </c>
    </row>
    <row r="130" spans="1:29" s="31" customFormat="1" hidden="1" outlineLevel="1" x14ac:dyDescent="0.25">
      <c r="A130" s="63"/>
      <c r="B130" s="17">
        <f t="shared" si="29"/>
        <v>0</v>
      </c>
      <c r="C130" s="17">
        <f t="shared" si="28"/>
        <v>0</v>
      </c>
      <c r="D130" s="17">
        <f t="shared" si="28"/>
        <v>0</v>
      </c>
      <c r="E130" s="28">
        <f t="shared" si="28"/>
        <v>0</v>
      </c>
      <c r="F130" s="30"/>
      <c r="G130" s="30"/>
      <c r="H130" s="52"/>
      <c r="I130"/>
      <c r="J130" s="3"/>
      <c r="K130" s="3"/>
      <c r="L130" s="3">
        <v>4</v>
      </c>
      <c r="M130" s="3"/>
      <c r="N130" s="3"/>
      <c r="O130" s="3"/>
      <c r="P130" s="3"/>
      <c r="Q130" s="3"/>
      <c r="R130" s="3"/>
      <c r="S130" s="63">
        <v>0</v>
      </c>
      <c r="T130" s="7" t="s">
        <v>108</v>
      </c>
      <c r="U130" s="7" t="s">
        <v>22</v>
      </c>
      <c r="V130" s="13">
        <v>2</v>
      </c>
      <c r="W130" s="7" t="s">
        <v>67</v>
      </c>
      <c r="X130" s="7">
        <v>7</v>
      </c>
      <c r="Y130" s="7">
        <v>-1</v>
      </c>
      <c r="Z130" s="7">
        <v>2</v>
      </c>
      <c r="AA130" s="7" t="s">
        <v>4</v>
      </c>
      <c r="AB130" s="7">
        <v>12</v>
      </c>
      <c r="AC130" s="63">
        <f t="shared" si="30"/>
        <v>0</v>
      </c>
    </row>
    <row r="131" spans="1:29" s="31" customFormat="1" hidden="1" outlineLevel="1" x14ac:dyDescent="0.25">
      <c r="A131" s="63"/>
      <c r="B131" s="17">
        <f t="shared" si="29"/>
        <v>0</v>
      </c>
      <c r="C131" s="17">
        <f t="shared" si="28"/>
        <v>0</v>
      </c>
      <c r="D131" s="17">
        <f t="shared" si="28"/>
        <v>0</v>
      </c>
      <c r="E131" s="28">
        <f t="shared" si="28"/>
        <v>0</v>
      </c>
      <c r="F131" s="30"/>
      <c r="G131" s="30"/>
      <c r="H131" s="52"/>
      <c r="I131"/>
      <c r="J131" s="3"/>
      <c r="K131" s="3"/>
      <c r="L131" s="3">
        <v>4</v>
      </c>
      <c r="M131" s="3"/>
      <c r="N131" s="3"/>
      <c r="O131" s="3"/>
      <c r="P131" s="3"/>
      <c r="Q131" s="3"/>
      <c r="R131" s="3"/>
      <c r="S131" s="60">
        <v>0</v>
      </c>
      <c r="T131" s="6" t="s">
        <v>170</v>
      </c>
      <c r="U131" s="6" t="s">
        <v>46</v>
      </c>
      <c r="V131" s="6">
        <v>3</v>
      </c>
      <c r="W131" s="6" t="s">
        <v>93</v>
      </c>
      <c r="X131" s="6">
        <v>6</v>
      </c>
      <c r="Y131" s="6">
        <v>0</v>
      </c>
      <c r="Z131" s="6">
        <v>1</v>
      </c>
      <c r="AA131" s="6" t="s">
        <v>4</v>
      </c>
      <c r="AB131" s="6">
        <v>10</v>
      </c>
      <c r="AC131" s="63">
        <f t="shared" si="30"/>
        <v>0</v>
      </c>
    </row>
    <row r="132" spans="1:29" s="31" customFormat="1" hidden="1" outlineLevel="1" x14ac:dyDescent="0.25">
      <c r="A132" s="63"/>
      <c r="B132" s="17">
        <f t="shared" si="29"/>
        <v>0</v>
      </c>
      <c r="C132" s="17">
        <f t="shared" si="28"/>
        <v>0</v>
      </c>
      <c r="D132" s="17">
        <f t="shared" si="28"/>
        <v>0</v>
      </c>
      <c r="E132" s="28">
        <f t="shared" si="28"/>
        <v>0</v>
      </c>
      <c r="F132" s="30"/>
      <c r="G132" s="30"/>
      <c r="H132" s="52"/>
      <c r="I132"/>
      <c r="J132" s="3"/>
      <c r="K132" s="3"/>
      <c r="L132" s="3">
        <v>4</v>
      </c>
      <c r="M132" s="3"/>
      <c r="N132" s="3"/>
      <c r="O132" s="3"/>
      <c r="P132" s="3"/>
      <c r="Q132" s="3"/>
      <c r="R132" s="3"/>
      <c r="S132" s="63">
        <v>0</v>
      </c>
      <c r="T132" s="7" t="s">
        <v>210</v>
      </c>
      <c r="U132" s="7" t="s">
        <v>22</v>
      </c>
      <c r="V132" s="13">
        <v>4</v>
      </c>
      <c r="W132" s="7" t="s">
        <v>67</v>
      </c>
      <c r="X132" s="7">
        <v>7</v>
      </c>
      <c r="Y132" s="7">
        <v>-1</v>
      </c>
      <c r="Z132" s="7">
        <v>2</v>
      </c>
      <c r="AA132" s="7" t="s">
        <v>4</v>
      </c>
      <c r="AB132" s="7">
        <v>24</v>
      </c>
      <c r="AC132" s="63">
        <f t="shared" si="30"/>
        <v>0</v>
      </c>
    </row>
    <row r="133" spans="1:29" s="31" customFormat="1" hidden="1" outlineLevel="1" x14ac:dyDescent="0.25">
      <c r="A133" s="63"/>
      <c r="B133" s="17">
        <f t="shared" si="29"/>
        <v>0</v>
      </c>
      <c r="C133" s="17">
        <f t="shared" si="28"/>
        <v>0</v>
      </c>
      <c r="D133" s="17">
        <f t="shared" si="28"/>
        <v>0</v>
      </c>
      <c r="E133" s="28">
        <f t="shared" si="28"/>
        <v>0</v>
      </c>
      <c r="F133" s="30"/>
      <c r="G133" s="30"/>
      <c r="H133" s="52"/>
      <c r="I133"/>
      <c r="J133" s="3"/>
      <c r="K133" s="3"/>
      <c r="L133" s="3">
        <v>4</v>
      </c>
      <c r="M133" s="3"/>
      <c r="N133" s="3"/>
      <c r="O133" s="3"/>
      <c r="P133" s="3"/>
      <c r="Q133" s="3"/>
      <c r="R133" s="3"/>
      <c r="S133" s="63">
        <v>0</v>
      </c>
      <c r="T133" s="63" t="s">
        <v>209</v>
      </c>
      <c r="U133" s="63" t="s">
        <v>22</v>
      </c>
      <c r="V133" s="63">
        <v>2</v>
      </c>
      <c r="W133" s="63" t="s">
        <v>88</v>
      </c>
      <c r="X133" s="63">
        <v>9</v>
      </c>
      <c r="Y133" s="63">
        <v>-3</v>
      </c>
      <c r="Z133" s="63">
        <v>3.5</v>
      </c>
      <c r="AA133" s="63"/>
      <c r="AB133" s="63">
        <v>40</v>
      </c>
      <c r="AC133" s="63">
        <f t="shared" si="30"/>
        <v>0</v>
      </c>
    </row>
    <row r="134" spans="1:29" s="31" customFormat="1" hidden="1" outlineLevel="1" x14ac:dyDescent="0.25">
      <c r="B134" s="17">
        <f t="shared" si="29"/>
        <v>1.6666666666666667</v>
      </c>
      <c r="C134" s="17">
        <f t="shared" si="28"/>
        <v>0.66666666666666663</v>
      </c>
      <c r="D134" s="17">
        <f t="shared" si="28"/>
        <v>0.33333333333333331</v>
      </c>
      <c r="E134" s="28">
        <f t="shared" si="28"/>
        <v>0.33333333333333331</v>
      </c>
      <c r="F134" s="30"/>
      <c r="G134" s="30"/>
      <c r="H134" s="52"/>
      <c r="I134"/>
      <c r="L134" s="3">
        <v>4</v>
      </c>
      <c r="S134" s="60">
        <v>1</v>
      </c>
      <c r="T134" s="6" t="s">
        <v>211</v>
      </c>
      <c r="U134" s="6" t="s">
        <v>46</v>
      </c>
      <c r="V134" s="6">
        <v>6</v>
      </c>
      <c r="W134" s="6" t="s">
        <v>93</v>
      </c>
      <c r="X134" s="6">
        <v>6</v>
      </c>
      <c r="Y134" s="6">
        <v>0</v>
      </c>
      <c r="Z134" s="6">
        <v>1</v>
      </c>
      <c r="AA134" s="6" t="s">
        <v>4</v>
      </c>
      <c r="AB134" s="6">
        <v>20</v>
      </c>
      <c r="AC134" s="63">
        <f t="shared" si="30"/>
        <v>20</v>
      </c>
    </row>
    <row r="135" spans="1:29" s="31" customFormat="1" hidden="1" outlineLevel="1" x14ac:dyDescent="0.25">
      <c r="B135" s="17">
        <f t="shared" si="29"/>
        <v>0</v>
      </c>
      <c r="C135" s="17">
        <f t="shared" si="28"/>
        <v>0</v>
      </c>
      <c r="D135" s="17">
        <f t="shared" si="28"/>
        <v>0</v>
      </c>
      <c r="E135" s="28">
        <f t="shared" si="28"/>
        <v>0</v>
      </c>
      <c r="F135" s="30"/>
      <c r="G135" s="30"/>
      <c r="H135" s="52"/>
      <c r="I135"/>
      <c r="L135" s="3">
        <v>4</v>
      </c>
      <c r="S135" s="60">
        <v>0</v>
      </c>
      <c r="T135" s="63" t="s">
        <v>212</v>
      </c>
      <c r="U135" s="63" t="s">
        <v>215</v>
      </c>
      <c r="V135" s="63">
        <v>2</v>
      </c>
      <c r="W135" s="63" t="s">
        <v>213</v>
      </c>
      <c r="X135" s="63">
        <v>6</v>
      </c>
      <c r="Y135" s="60">
        <v>-1</v>
      </c>
      <c r="Z135" s="60">
        <v>2.6</v>
      </c>
      <c r="AA135" s="63"/>
      <c r="AB135" s="60">
        <v>12</v>
      </c>
      <c r="AC135" s="63">
        <f t="shared" si="30"/>
        <v>0</v>
      </c>
    </row>
    <row r="136" spans="1:29" s="31" customFormat="1" hidden="1" outlineLevel="1" x14ac:dyDescent="0.25">
      <c r="B136" s="17">
        <f t="shared" si="29"/>
        <v>0</v>
      </c>
      <c r="C136" s="17">
        <f t="shared" si="28"/>
        <v>0</v>
      </c>
      <c r="D136" s="17">
        <f t="shared" si="28"/>
        <v>0</v>
      </c>
      <c r="E136" s="28">
        <f t="shared" si="28"/>
        <v>0</v>
      </c>
      <c r="F136" s="30"/>
      <c r="G136" s="30"/>
      <c r="H136" s="52"/>
      <c r="I136"/>
      <c r="L136" s="3">
        <v>4</v>
      </c>
      <c r="S136" s="60">
        <v>0</v>
      </c>
      <c r="T136" s="60" t="s">
        <v>214</v>
      </c>
      <c r="U136" s="60" t="s">
        <v>216</v>
      </c>
      <c r="V136" s="60">
        <v>4</v>
      </c>
      <c r="W136" s="60" t="s">
        <v>213</v>
      </c>
      <c r="X136" s="60">
        <v>6</v>
      </c>
      <c r="Y136" s="60">
        <v>-1</v>
      </c>
      <c r="Z136" s="60">
        <v>2.6</v>
      </c>
      <c r="AA136" s="63"/>
      <c r="AB136" s="60">
        <v>24</v>
      </c>
      <c r="AC136" s="63">
        <f t="shared" si="30"/>
        <v>0</v>
      </c>
    </row>
    <row r="137" spans="1:29" s="36" customFormat="1" collapsed="1" x14ac:dyDescent="0.25">
      <c r="A137" s="36" t="s">
        <v>146</v>
      </c>
      <c r="B137" s="33">
        <f>SUM(B138:B139)/$AB137*100</f>
        <v>0.96899224806201545</v>
      </c>
      <c r="C137" s="33">
        <f>SUM(C138:C139)/$AB137*100</f>
        <v>0.80749354005167973</v>
      </c>
      <c r="D137" s="33">
        <f>SUM(D138:D139)/$AB137*100</f>
        <v>2.2609819121447026</v>
      </c>
      <c r="E137" s="57">
        <f>SUM(E138:E139)/$AB137*100</f>
        <v>1.8087855297157622</v>
      </c>
      <c r="F137" s="34">
        <f>$I137*$O137/(wound($H$1,F$3,F$4,F$5,F$6,$N137,$R137,$O137)*$AB137)/$K$3</f>
        <v>1.337209302325582</v>
      </c>
      <c r="G137" s="34">
        <f>$I137*$O137/(wound($H$1,G$3,G$4,G$5,G$6,$N137,$R137,$O137)*$AB137)/$K$5</f>
        <v>0.52325581395348841</v>
      </c>
      <c r="H137" s="35">
        <f>$I137*$O137/(wound($H$1,H$3,H$4,H$5,H$6,$N137,$R137,$O137)*$AB137)/$K$4</f>
        <v>0.7441860465116279</v>
      </c>
      <c r="I137">
        <v>1</v>
      </c>
      <c r="J137" s="40" t="s">
        <v>147</v>
      </c>
      <c r="K137" s="40" t="s">
        <v>50</v>
      </c>
      <c r="L137" s="40">
        <v>4</v>
      </c>
      <c r="M137" s="40">
        <v>4</v>
      </c>
      <c r="N137" s="40">
        <v>5</v>
      </c>
      <c r="O137" s="40">
        <v>6</v>
      </c>
      <c r="P137" s="40">
        <v>2</v>
      </c>
      <c r="Q137" s="40">
        <v>7</v>
      </c>
      <c r="R137" s="40" t="s">
        <v>181</v>
      </c>
      <c r="T137" s="40"/>
      <c r="U137" s="40"/>
      <c r="V137" s="41"/>
      <c r="W137" s="40"/>
      <c r="X137" s="40"/>
      <c r="Y137" s="40"/>
      <c r="Z137" s="40"/>
      <c r="AA137" s="40"/>
      <c r="AB137" s="37">
        <f>64-18+S138*40+S139*18</f>
        <v>86</v>
      </c>
    </row>
    <row r="138" spans="1:29" s="37" customFormat="1" hidden="1" outlineLevel="1" x14ac:dyDescent="0.25">
      <c r="B138" s="17">
        <f t="shared" ref="B138:E139" si="31">wound($L138,$V138,$X138,$Y138,$Z138,B$3,B$4,B$6)*$S138</f>
        <v>0.83333333333333337</v>
      </c>
      <c r="C138" s="17">
        <f t="shared" si="31"/>
        <v>0.69444444444444453</v>
      </c>
      <c r="D138" s="17">
        <f t="shared" si="31"/>
        <v>1.9444444444444442</v>
      </c>
      <c r="E138" s="28">
        <f t="shared" si="31"/>
        <v>1.5555555555555554</v>
      </c>
      <c r="H138" s="56"/>
      <c r="I138"/>
      <c r="L138" s="11">
        <v>4</v>
      </c>
      <c r="S138" s="42">
        <v>1</v>
      </c>
      <c r="T138" s="42" t="s">
        <v>148</v>
      </c>
      <c r="U138" s="42" t="s">
        <v>22</v>
      </c>
      <c r="V138" s="13">
        <v>2</v>
      </c>
      <c r="W138" s="42" t="s">
        <v>67</v>
      </c>
      <c r="X138" s="42">
        <v>9</v>
      </c>
      <c r="Y138" s="42">
        <v>-3</v>
      </c>
      <c r="Z138" s="42">
        <v>3.5</v>
      </c>
    </row>
    <row r="139" spans="1:29" hidden="1" outlineLevel="1" x14ac:dyDescent="0.25">
      <c r="B139" s="17">
        <f t="shared" si="31"/>
        <v>0</v>
      </c>
      <c r="C139" s="17">
        <f t="shared" si="31"/>
        <v>0</v>
      </c>
      <c r="D139" s="17">
        <f t="shared" si="31"/>
        <v>0</v>
      </c>
      <c r="E139" s="28">
        <f t="shared" si="31"/>
        <v>0</v>
      </c>
      <c r="F139" s="15"/>
      <c r="G139" s="15"/>
      <c r="H139" s="27"/>
      <c r="L139" s="7">
        <v>4</v>
      </c>
      <c r="S139" s="6">
        <v>0</v>
      </c>
      <c r="T139" s="7" t="s">
        <v>149</v>
      </c>
      <c r="U139" s="7" t="s">
        <v>46</v>
      </c>
      <c r="V139" s="13">
        <v>6</v>
      </c>
      <c r="W139" s="7" t="s">
        <v>150</v>
      </c>
      <c r="X139" s="7">
        <v>6</v>
      </c>
      <c r="Y139" s="7">
        <v>0</v>
      </c>
      <c r="Z139" s="7">
        <v>1</v>
      </c>
    </row>
    <row r="140" spans="1:29" s="43" customFormat="1" collapsed="1" x14ac:dyDescent="0.25">
      <c r="A140" s="36" t="s">
        <v>151</v>
      </c>
      <c r="B140" s="33">
        <f>SUM(B141:B143)/$AB140*100</f>
        <v>1.2183235867446396</v>
      </c>
      <c r="C140" s="33">
        <f>SUM(C141:C143)/$AB140*100</f>
        <v>0.58479532163742687</v>
      </c>
      <c r="D140" s="33">
        <f>SUM(D141:D143)/$AB140*100</f>
        <v>0.58479532163742687</v>
      </c>
      <c r="E140" s="57">
        <f>SUM(E141:E143)/$AB140*100</f>
        <v>0.58479532163742687</v>
      </c>
      <c r="F140" s="34">
        <f>$I140*$O140/(wound($H$1,F$3,F$4,F$5,F$6,$N140,$R140,$O140)*$AB140)/$K$3</f>
        <v>2.0175438596491233</v>
      </c>
      <c r="G140" s="34">
        <f>$I140*$O140/(wound($H$1,G$3,G$4,G$5,G$6,$N140,$R140,$O140)*$AB140)/$K$5</f>
        <v>0.78947368421052622</v>
      </c>
      <c r="H140" s="35">
        <f>$I140*$O140/(wound($H$1,H$3,H$4,H$5,H$6,$N140,$R140,$O140)*$AB140)/$K$4</f>
        <v>1.1228070175438598</v>
      </c>
      <c r="I140">
        <v>1</v>
      </c>
      <c r="J140" s="40">
        <v>15</v>
      </c>
      <c r="K140" s="40" t="s">
        <v>50</v>
      </c>
      <c r="L140" s="40">
        <v>4</v>
      </c>
      <c r="M140" s="40">
        <v>4</v>
      </c>
      <c r="N140" s="40">
        <v>5</v>
      </c>
      <c r="O140" s="40">
        <v>6</v>
      </c>
      <c r="P140" s="40">
        <v>2</v>
      </c>
      <c r="Q140" s="40">
        <v>7</v>
      </c>
      <c r="R140" s="40" t="s">
        <v>181</v>
      </c>
      <c r="AB140" s="36">
        <f>37+20*(S141+S142)+14*S143</f>
        <v>57</v>
      </c>
    </row>
    <row r="141" spans="1:29" hidden="1" outlineLevel="1" x14ac:dyDescent="0.25">
      <c r="B141" s="17">
        <f t="shared" ref="B141:E143" si="32">wound($L141,$V141,$X141,$Y141,$Z141,B$3,B$4,B$6)*$S141</f>
        <v>0</v>
      </c>
      <c r="C141" s="17">
        <f t="shared" si="32"/>
        <v>0</v>
      </c>
      <c r="D141" s="17">
        <f t="shared" si="32"/>
        <v>0</v>
      </c>
      <c r="E141" s="28">
        <f t="shared" si="32"/>
        <v>0</v>
      </c>
      <c r="S141" s="7">
        <v>0</v>
      </c>
      <c r="T141" s="7" t="s">
        <v>152</v>
      </c>
      <c r="U141" s="7" t="s">
        <v>46</v>
      </c>
      <c r="V141" s="13">
        <v>7</v>
      </c>
      <c r="W141" s="7" t="s">
        <v>153</v>
      </c>
      <c r="X141" s="7">
        <v>3</v>
      </c>
      <c r="Y141" s="7">
        <v>0</v>
      </c>
      <c r="Z141" s="7">
        <v>1</v>
      </c>
    </row>
    <row r="142" spans="1:29" hidden="1" outlineLevel="1" x14ac:dyDescent="0.25">
      <c r="B142" s="17">
        <f t="shared" si="32"/>
        <v>0.69444444444444453</v>
      </c>
      <c r="C142" s="17">
        <f t="shared" si="32"/>
        <v>0.33333333333333331</v>
      </c>
      <c r="D142" s="17">
        <f t="shared" si="32"/>
        <v>0.33333333333333331</v>
      </c>
      <c r="E142" s="28">
        <f t="shared" si="32"/>
        <v>0.33333333333333331</v>
      </c>
      <c r="F142" s="15"/>
      <c r="G142" s="15"/>
      <c r="H142" s="27"/>
      <c r="L142" s="7">
        <v>4</v>
      </c>
      <c r="S142" s="6">
        <v>1</v>
      </c>
      <c r="T142" s="7" t="s">
        <v>154</v>
      </c>
      <c r="U142" s="7" t="s">
        <v>46</v>
      </c>
      <c r="V142" s="13">
        <v>2</v>
      </c>
      <c r="W142" s="7" t="s">
        <v>155</v>
      </c>
      <c r="X142" s="7">
        <v>6</v>
      </c>
      <c r="Y142" s="7">
        <v>-1</v>
      </c>
      <c r="Z142" s="7">
        <v>2</v>
      </c>
    </row>
    <row r="143" spans="1:29" hidden="1" outlineLevel="1" x14ac:dyDescent="0.25">
      <c r="B143" s="17">
        <f t="shared" si="32"/>
        <v>0</v>
      </c>
      <c r="C143" s="17">
        <f t="shared" si="32"/>
        <v>0</v>
      </c>
      <c r="D143" s="17">
        <f t="shared" si="32"/>
        <v>0</v>
      </c>
      <c r="E143" s="28">
        <f t="shared" si="32"/>
        <v>0</v>
      </c>
      <c r="F143" s="15"/>
      <c r="G143" s="15"/>
      <c r="H143" s="27"/>
      <c r="L143" s="7">
        <v>1</v>
      </c>
      <c r="S143" s="6">
        <v>0</v>
      </c>
      <c r="T143" s="7" t="s">
        <v>98</v>
      </c>
      <c r="U143" s="7" t="s">
        <v>49</v>
      </c>
      <c r="V143" s="13">
        <v>3.5</v>
      </c>
      <c r="W143" s="7" t="s">
        <v>99</v>
      </c>
      <c r="X143" s="7">
        <v>5</v>
      </c>
      <c r="Y143" s="7">
        <v>-1</v>
      </c>
      <c r="Z143" s="7">
        <v>1</v>
      </c>
    </row>
    <row r="144" spans="1:29" s="43" customFormat="1" collapsed="1" x14ac:dyDescent="0.25">
      <c r="A144" s="40" t="s">
        <v>156</v>
      </c>
      <c r="B144" s="33">
        <f>SUM(B145:B148)/$AB144*100</f>
        <v>2.9259259259259265</v>
      </c>
      <c r="C144" s="33">
        <f>SUM(C145:C148)/$AB144*100</f>
        <v>1.4444444444444444</v>
      </c>
      <c r="D144" s="33">
        <f>SUM(D145:D148)/$AB144*100</f>
        <v>1.2222222222222221</v>
      </c>
      <c r="E144" s="57">
        <f>SUM(E145:E148)/$AB144*100</f>
        <v>0.88888888888888884</v>
      </c>
      <c r="F144" s="34">
        <f>$I144*$O144/(wound($H$1,F$3,F$4,F$5,F$6,$N144,$R144,$O144)*$AB144)/$K$3</f>
        <v>2.0444444444444447</v>
      </c>
      <c r="G144" s="34">
        <f>$I144*$O144/(wound($H$1,G$3,G$4,G$5,G$6,$N144,$R144,$O144)*$AB144)/$K$5</f>
        <v>2</v>
      </c>
      <c r="H144" s="35">
        <f>$I144*$O144/(wound($H$1,H$3,H$4,H$5,H$6,$N144,$R144,$O144)*$AB144)/$K$4</f>
        <v>2.1333333333333333</v>
      </c>
      <c r="I144">
        <v>1</v>
      </c>
      <c r="J144" s="40">
        <v>12</v>
      </c>
      <c r="K144" s="40" t="s">
        <v>32</v>
      </c>
      <c r="M144" s="40">
        <v>6</v>
      </c>
      <c r="N144" s="40">
        <v>7</v>
      </c>
      <c r="O144" s="40">
        <v>10</v>
      </c>
      <c r="P144" s="40">
        <v>3</v>
      </c>
      <c r="Q144" s="40">
        <v>7</v>
      </c>
      <c r="R144" s="40" t="s">
        <v>2</v>
      </c>
      <c r="AB144" s="36">
        <f>73+S147*2+S148*2</f>
        <v>75</v>
      </c>
    </row>
    <row r="145" spans="1:29" hidden="1" outlineLevel="1" x14ac:dyDescent="0.25">
      <c r="B145" s="17">
        <f t="shared" ref="B145:E148" si="33">wound($L145,$V145,$X145,$Y145,$Z145,B$3,B$4,B$6)*$S145</f>
        <v>0.69444444444444453</v>
      </c>
      <c r="C145" s="17">
        <f t="shared" si="33"/>
        <v>0.33333333333333331</v>
      </c>
      <c r="D145" s="17">
        <f t="shared" si="33"/>
        <v>0.5</v>
      </c>
      <c r="E145" s="28">
        <f t="shared" si="33"/>
        <v>0.33333333333333331</v>
      </c>
      <c r="F145" s="38"/>
      <c r="G145" s="38"/>
      <c r="H145" s="39"/>
      <c r="L145" s="7">
        <v>4</v>
      </c>
      <c r="S145" s="7">
        <v>1</v>
      </c>
      <c r="T145" s="7" t="s">
        <v>108</v>
      </c>
      <c r="U145" s="7" t="s">
        <v>22</v>
      </c>
      <c r="V145" s="13">
        <v>2</v>
      </c>
      <c r="W145" s="7" t="s">
        <v>67</v>
      </c>
      <c r="X145" s="7">
        <v>7</v>
      </c>
      <c r="Y145" s="7">
        <v>-1</v>
      </c>
      <c r="Z145" s="7">
        <v>2</v>
      </c>
      <c r="AA145" s="7" t="s">
        <v>4</v>
      </c>
    </row>
    <row r="146" spans="1:29" hidden="1" outlineLevel="1" x14ac:dyDescent="0.25">
      <c r="B146" s="17">
        <f t="shared" si="33"/>
        <v>0.83333333333333337</v>
      </c>
      <c r="C146" s="17">
        <f t="shared" si="33"/>
        <v>0.5</v>
      </c>
      <c r="D146" s="17">
        <f t="shared" si="33"/>
        <v>0.25</v>
      </c>
      <c r="E146" s="28">
        <f t="shared" si="33"/>
        <v>0.25</v>
      </c>
      <c r="F146" s="15"/>
      <c r="G146" s="15"/>
      <c r="H146" s="27"/>
      <c r="L146" s="7">
        <v>4</v>
      </c>
      <c r="S146" s="6">
        <v>1</v>
      </c>
      <c r="T146" s="7" t="s">
        <v>45</v>
      </c>
      <c r="U146" s="7" t="s">
        <v>46</v>
      </c>
      <c r="V146" s="13">
        <v>3</v>
      </c>
      <c r="W146" s="7" t="s">
        <v>93</v>
      </c>
      <c r="X146" s="7">
        <v>5</v>
      </c>
      <c r="Y146" s="7">
        <v>-1</v>
      </c>
      <c r="Z146" s="7">
        <v>1</v>
      </c>
      <c r="AA146" s="7" t="s">
        <v>4</v>
      </c>
    </row>
    <row r="147" spans="1:29" hidden="1" outlineLevel="1" x14ac:dyDescent="0.25">
      <c r="B147" s="17">
        <f t="shared" si="33"/>
        <v>0.66666666666666663</v>
      </c>
      <c r="C147" s="17">
        <f t="shared" si="33"/>
        <v>0.25</v>
      </c>
      <c r="D147" s="17">
        <f t="shared" si="33"/>
        <v>0.16666666666666666</v>
      </c>
      <c r="E147" s="28">
        <f t="shared" si="33"/>
        <v>8.3333333333333329E-2</v>
      </c>
      <c r="F147" s="15"/>
      <c r="G147" s="15"/>
      <c r="H147" s="27"/>
      <c r="L147" s="7">
        <v>4</v>
      </c>
      <c r="S147" s="6">
        <v>1</v>
      </c>
      <c r="T147" s="7" t="s">
        <v>94</v>
      </c>
      <c r="U147" s="7" t="s">
        <v>46</v>
      </c>
      <c r="V147" s="13">
        <v>3</v>
      </c>
      <c r="W147" s="7" t="s">
        <v>93</v>
      </c>
      <c r="X147" s="7">
        <v>4</v>
      </c>
      <c r="Y147" s="7">
        <v>0</v>
      </c>
      <c r="Z147" s="7">
        <v>1</v>
      </c>
      <c r="AA147" s="7" t="s">
        <v>4</v>
      </c>
    </row>
    <row r="148" spans="1:29" hidden="1" outlineLevel="1" x14ac:dyDescent="0.25">
      <c r="B148" s="17">
        <f t="shared" si="33"/>
        <v>0</v>
      </c>
      <c r="C148" s="17">
        <f t="shared" si="33"/>
        <v>0</v>
      </c>
      <c r="D148" s="17">
        <f t="shared" si="33"/>
        <v>0</v>
      </c>
      <c r="E148" s="28">
        <f t="shared" si="33"/>
        <v>0</v>
      </c>
      <c r="F148" s="15"/>
      <c r="G148" s="15"/>
      <c r="H148" s="27"/>
      <c r="L148" s="7">
        <v>4</v>
      </c>
      <c r="S148" s="6">
        <v>0</v>
      </c>
      <c r="T148" s="7" t="s">
        <v>33</v>
      </c>
      <c r="U148" s="7" t="s">
        <v>6</v>
      </c>
      <c r="V148" s="13">
        <v>2</v>
      </c>
      <c r="W148" s="7" t="s">
        <v>101</v>
      </c>
      <c r="X148" s="7">
        <v>4</v>
      </c>
      <c r="Y148" s="7">
        <v>0</v>
      </c>
      <c r="Z148" s="7">
        <v>1</v>
      </c>
      <c r="AA148" s="7" t="s">
        <v>4</v>
      </c>
    </row>
    <row r="149" spans="1:29" s="43" customFormat="1" collapsed="1" x14ac:dyDescent="0.25">
      <c r="A149" s="40" t="s">
        <v>157</v>
      </c>
      <c r="B149" s="33">
        <f>SUM(B150:B151)/$AB149*100</f>
        <v>5.1301301301301301</v>
      </c>
      <c r="C149" s="33">
        <f>SUM(C150:C151)/$AB149*100</f>
        <v>2.5525525525525521</v>
      </c>
      <c r="D149" s="33">
        <f>SUM(D150:D151)/$AB149*100</f>
        <v>1.276276276276276</v>
      </c>
      <c r="E149" s="57">
        <f>SUM(E150:E151)/$AB149*100</f>
        <v>1.276276276276276</v>
      </c>
      <c r="F149" s="34">
        <f>$I149*$O149/(wound($H$1,F$3,F$4,F$5,F$6,$N149,$R149,$O149)*$AB149)/$K$3</f>
        <v>1.5195195195195195</v>
      </c>
      <c r="G149" s="34">
        <f>$I149*$O149/(wound($H$1,G$3,G$4,G$5,G$6,$N149,$R149,$O149)*$AB149)/$K$5</f>
        <v>1.4864864864864864</v>
      </c>
      <c r="H149" s="35">
        <f>$I149*$O149/(wound($H$1,H$3,H$4,H$5,H$6,$N149,$R149,$O149)*$AB149)/$K$4</f>
        <v>1.5855855855855856</v>
      </c>
      <c r="I149">
        <v>1</v>
      </c>
      <c r="J149" s="40">
        <v>12</v>
      </c>
      <c r="K149" s="40" t="s">
        <v>32</v>
      </c>
      <c r="M149" s="40">
        <v>6</v>
      </c>
      <c r="N149" s="40">
        <v>7</v>
      </c>
      <c r="O149" s="40">
        <v>11</v>
      </c>
      <c r="P149" s="40">
        <v>3</v>
      </c>
      <c r="Q149" s="40">
        <v>7</v>
      </c>
      <c r="R149" s="40" t="s">
        <v>2</v>
      </c>
      <c r="AB149" s="40">
        <v>111</v>
      </c>
    </row>
    <row r="150" spans="1:29" hidden="1" outlineLevel="1" x14ac:dyDescent="0.25">
      <c r="B150" s="17">
        <f t="shared" ref="B150:E151" si="34">wound($L150,$V150,$X150,$Y150,$Z150,B$3,B$4,B$6)*$S150</f>
        <v>0.83333333333333337</v>
      </c>
      <c r="C150" s="17">
        <f t="shared" si="34"/>
        <v>0.5</v>
      </c>
      <c r="D150" s="17">
        <f t="shared" si="34"/>
        <v>0.25</v>
      </c>
      <c r="E150" s="28">
        <f t="shared" si="34"/>
        <v>0.25</v>
      </c>
      <c r="F150" s="38"/>
      <c r="G150" s="38"/>
      <c r="H150" s="39"/>
      <c r="L150" s="7">
        <v>4</v>
      </c>
      <c r="S150" s="7">
        <v>1</v>
      </c>
      <c r="T150" s="7" t="s">
        <v>45</v>
      </c>
      <c r="U150" s="7" t="s">
        <v>46</v>
      </c>
      <c r="V150" s="13">
        <v>3</v>
      </c>
      <c r="W150" s="7" t="s">
        <v>93</v>
      </c>
      <c r="X150" s="7">
        <v>5</v>
      </c>
      <c r="Y150" s="7">
        <v>-1</v>
      </c>
      <c r="Z150" s="7">
        <v>1</v>
      </c>
      <c r="AA150" s="7" t="s">
        <v>4</v>
      </c>
    </row>
    <row r="151" spans="1:29" hidden="1" outlineLevel="1" x14ac:dyDescent="0.25">
      <c r="B151" s="17">
        <f t="shared" si="34"/>
        <v>4.8611111111111116</v>
      </c>
      <c r="C151" s="17">
        <f t="shared" si="34"/>
        <v>2.333333333333333</v>
      </c>
      <c r="D151" s="17">
        <f t="shared" si="34"/>
        <v>1.1666666666666665</v>
      </c>
      <c r="E151" s="28">
        <f t="shared" si="34"/>
        <v>1.1666666666666665</v>
      </c>
      <c r="F151" s="15"/>
      <c r="G151" s="15"/>
      <c r="H151" s="27"/>
      <c r="L151" s="7">
        <v>1</v>
      </c>
      <c r="S151" s="6">
        <v>1</v>
      </c>
      <c r="T151" s="7" t="s">
        <v>158</v>
      </c>
      <c r="U151" s="7" t="s">
        <v>159</v>
      </c>
      <c r="V151" s="13">
        <v>7</v>
      </c>
      <c r="W151" s="7" t="s">
        <v>160</v>
      </c>
      <c r="X151" s="7">
        <v>6</v>
      </c>
      <c r="Y151" s="7">
        <v>-1</v>
      </c>
      <c r="Z151" s="7">
        <v>1</v>
      </c>
    </row>
    <row r="152" spans="1:29" s="19" customFormat="1" hidden="1" outlineLevel="1" x14ac:dyDescent="0.25">
      <c r="E152" s="59"/>
      <c r="F152" s="18"/>
      <c r="G152" s="18"/>
      <c r="H152" s="29"/>
      <c r="I152"/>
    </row>
    <row r="153" spans="1:29" collapsed="1" x14ac:dyDescent="0.25">
      <c r="A153" s="32" t="s">
        <v>165</v>
      </c>
      <c r="B153" s="30">
        <f>SUM(B154:B163)/$AB153*100</f>
        <v>1.1904761904761907</v>
      </c>
      <c r="C153" s="30">
        <f>SUM(C154:C163)/$AB153*100</f>
        <v>0.9920634920634922</v>
      </c>
      <c r="D153" s="30">
        <f>SUM(D154:D163)/$AB153*100</f>
        <v>2.7777777777777772</v>
      </c>
      <c r="E153" s="52">
        <f>SUM(E154:E163)/$AB153*100</f>
        <v>2.2222222222222219</v>
      </c>
      <c r="F153" s="34">
        <f>$I153*$O153/(wound($H$1,F$3,F$4,F$5,F$6,$N153,$R153,$O153)*$AB153)/$K$3</f>
        <v>1.3142857142857143</v>
      </c>
      <c r="G153" s="34">
        <f>$I153*$O153/(wound($H$1,G$3,G$4,G$5,G$6,$N153,$R153,$O153)*$AB153)/$K$5</f>
        <v>1.2857142857142858</v>
      </c>
      <c r="H153" s="35">
        <f>$I153*$O153/(wound($H$1,H$3,H$4,H$5,H$6,$N153,$R153,$O153)*$AB153)/$K$4</f>
        <v>1.3714285714285717</v>
      </c>
      <c r="I153">
        <v>1</v>
      </c>
      <c r="J153" s="6" t="s">
        <v>49</v>
      </c>
      <c r="K153" s="6" t="s">
        <v>50</v>
      </c>
      <c r="L153" s="6">
        <v>4</v>
      </c>
      <c r="M153" s="6">
        <v>5</v>
      </c>
      <c r="N153" s="6">
        <v>6</v>
      </c>
      <c r="O153" s="6">
        <v>6</v>
      </c>
      <c r="P153" s="6">
        <v>1</v>
      </c>
      <c r="Q153" s="6">
        <v>7</v>
      </c>
      <c r="R153" s="6" t="s">
        <v>2</v>
      </c>
      <c r="AB153" s="6">
        <f>30+SUM(AC154:AC163)</f>
        <v>70</v>
      </c>
    </row>
    <row r="154" spans="1:29" hidden="1" outlineLevel="1" x14ac:dyDescent="0.25">
      <c r="B154" s="17">
        <f t="shared" ref="B154:E163" si="35">wound($L154,$V154,$X154,$Y154,$Z154,B$3,B$4,B$6)*$S154</f>
        <v>0</v>
      </c>
      <c r="C154" s="17">
        <f t="shared" si="35"/>
        <v>0</v>
      </c>
      <c r="D154" s="17">
        <f t="shared" si="35"/>
        <v>0</v>
      </c>
      <c r="E154" s="28">
        <f t="shared" si="35"/>
        <v>0</v>
      </c>
      <c r="F154" s="15"/>
      <c r="G154" s="15"/>
      <c r="H154" s="27"/>
      <c r="L154" s="6">
        <v>4</v>
      </c>
      <c r="S154" s="6">
        <v>0</v>
      </c>
      <c r="T154" s="6" t="s">
        <v>108</v>
      </c>
      <c r="U154" s="6" t="s">
        <v>22</v>
      </c>
      <c r="V154" s="6">
        <v>2</v>
      </c>
      <c r="W154" s="6" t="s">
        <v>67</v>
      </c>
      <c r="X154" s="6">
        <v>7</v>
      </c>
      <c r="Y154" s="6">
        <v>-1</v>
      </c>
      <c r="Z154" s="6">
        <v>2</v>
      </c>
      <c r="AA154" s="6" t="s">
        <v>4</v>
      </c>
      <c r="AB154" s="6">
        <v>10</v>
      </c>
      <c r="AC154" s="6">
        <f>AB154*S154</f>
        <v>0</v>
      </c>
    </row>
    <row r="155" spans="1:29" hidden="1" outlineLevel="1" x14ac:dyDescent="0.25">
      <c r="B155" s="17">
        <f t="shared" si="35"/>
        <v>0</v>
      </c>
      <c r="C155" s="17">
        <f t="shared" si="35"/>
        <v>0</v>
      </c>
      <c r="D155" s="17">
        <f t="shared" si="35"/>
        <v>0</v>
      </c>
      <c r="E155" s="28">
        <f t="shared" si="35"/>
        <v>0</v>
      </c>
      <c r="F155" s="15"/>
      <c r="G155" s="15"/>
      <c r="H155" s="27"/>
      <c r="L155" s="6">
        <v>4</v>
      </c>
      <c r="T155" s="6" t="s">
        <v>98</v>
      </c>
      <c r="U155" s="6" t="s">
        <v>49</v>
      </c>
      <c r="V155" s="6">
        <v>3.5</v>
      </c>
      <c r="W155" s="6" t="s">
        <v>99</v>
      </c>
      <c r="X155" s="6">
        <v>5</v>
      </c>
      <c r="Y155" s="6">
        <v>-1</v>
      </c>
      <c r="Z155" s="6">
        <v>1</v>
      </c>
      <c r="AA155" s="6" t="s">
        <v>166</v>
      </c>
      <c r="AB155" s="6">
        <v>14</v>
      </c>
      <c r="AC155" s="6">
        <f t="shared" ref="AC155:AC163" si="36">AB155*S155</f>
        <v>0</v>
      </c>
    </row>
    <row r="156" spans="1:29" hidden="1" outlineLevel="1" x14ac:dyDescent="0.25">
      <c r="B156" s="17">
        <f t="shared" si="35"/>
        <v>0.83333333333333337</v>
      </c>
      <c r="C156" s="17">
        <f t="shared" si="35"/>
        <v>0.69444444444444453</v>
      </c>
      <c r="D156" s="17">
        <f t="shared" si="35"/>
        <v>1.9444444444444442</v>
      </c>
      <c r="E156" s="28">
        <f t="shared" si="35"/>
        <v>1.5555555555555554</v>
      </c>
      <c r="F156" s="15"/>
      <c r="G156" s="15"/>
      <c r="H156" s="27"/>
      <c r="L156" s="6">
        <v>4</v>
      </c>
      <c r="S156" s="6">
        <v>2</v>
      </c>
      <c r="T156" s="6" t="s">
        <v>109</v>
      </c>
      <c r="U156" s="6" t="s">
        <v>22</v>
      </c>
      <c r="V156" s="6">
        <v>1</v>
      </c>
      <c r="W156" s="6" t="s">
        <v>88</v>
      </c>
      <c r="X156" s="6">
        <v>9</v>
      </c>
      <c r="Y156" s="6">
        <v>-3</v>
      </c>
      <c r="Z156" s="6">
        <v>3.5</v>
      </c>
      <c r="AA156" s="6" t="s">
        <v>4</v>
      </c>
      <c r="AB156" s="6">
        <v>20</v>
      </c>
      <c r="AC156" s="6">
        <f t="shared" si="36"/>
        <v>40</v>
      </c>
    </row>
    <row r="157" spans="1:29" hidden="1" outlineLevel="1" x14ac:dyDescent="0.25">
      <c r="B157" s="17">
        <f t="shared" si="35"/>
        <v>0</v>
      </c>
      <c r="C157" s="17">
        <f t="shared" si="35"/>
        <v>0</v>
      </c>
      <c r="D157" s="17">
        <f t="shared" si="35"/>
        <v>0</v>
      </c>
      <c r="E157" s="28">
        <f t="shared" si="35"/>
        <v>0</v>
      </c>
      <c r="F157" s="15"/>
      <c r="G157" s="15"/>
      <c r="H157" s="27"/>
      <c r="L157" s="6">
        <v>4</v>
      </c>
      <c r="S157" s="6">
        <v>0</v>
      </c>
      <c r="T157" s="6" t="s">
        <v>167</v>
      </c>
      <c r="AC157" s="6">
        <f t="shared" si="36"/>
        <v>0</v>
      </c>
    </row>
    <row r="158" spans="1:29" hidden="1" outlineLevel="1" x14ac:dyDescent="0.25">
      <c r="B158" s="17">
        <f t="shared" si="35"/>
        <v>0</v>
      </c>
      <c r="C158" s="17">
        <f t="shared" si="35"/>
        <v>0</v>
      </c>
      <c r="D158" s="17">
        <f t="shared" si="35"/>
        <v>0</v>
      </c>
      <c r="E158" s="28">
        <f t="shared" si="35"/>
        <v>0</v>
      </c>
      <c r="F158" s="15"/>
      <c r="G158" s="15"/>
      <c r="H158" s="27"/>
      <c r="L158" s="6">
        <v>4</v>
      </c>
      <c r="S158" s="6">
        <v>0</v>
      </c>
      <c r="T158" s="6" t="s">
        <v>168</v>
      </c>
      <c r="U158" s="6" t="s">
        <v>22</v>
      </c>
      <c r="V158" s="6">
        <v>3.5</v>
      </c>
      <c r="W158" s="6" t="s">
        <v>99</v>
      </c>
      <c r="X158" s="6">
        <v>4</v>
      </c>
      <c r="Y158" s="6">
        <v>0</v>
      </c>
      <c r="Z158" s="6">
        <v>1</v>
      </c>
      <c r="AB158" s="6">
        <v>15</v>
      </c>
      <c r="AC158" s="6">
        <f t="shared" si="36"/>
        <v>0</v>
      </c>
    </row>
    <row r="159" spans="1:29" hidden="1" outlineLevel="1" x14ac:dyDescent="0.25">
      <c r="B159" s="17">
        <f t="shared" si="35"/>
        <v>0</v>
      </c>
      <c r="C159" s="17">
        <f t="shared" si="35"/>
        <v>0</v>
      </c>
      <c r="D159" s="17">
        <f t="shared" si="35"/>
        <v>0</v>
      </c>
      <c r="E159" s="28">
        <f t="shared" si="35"/>
        <v>0</v>
      </c>
      <c r="F159" s="15"/>
      <c r="G159" s="15"/>
      <c r="H159" s="27"/>
      <c r="L159" s="6">
        <v>4</v>
      </c>
      <c r="S159" s="6">
        <v>0</v>
      </c>
      <c r="T159" s="6" t="s">
        <v>169</v>
      </c>
      <c r="U159" s="6" t="s">
        <v>22</v>
      </c>
      <c r="V159" s="6">
        <v>1</v>
      </c>
      <c r="W159" s="6" t="s">
        <v>88</v>
      </c>
      <c r="X159" s="6">
        <v>8</v>
      </c>
      <c r="Y159" s="6">
        <v>-2</v>
      </c>
      <c r="Z159" s="6">
        <v>3.5</v>
      </c>
      <c r="AB159" s="6">
        <v>15</v>
      </c>
      <c r="AC159" s="6">
        <f t="shared" si="36"/>
        <v>0</v>
      </c>
    </row>
    <row r="160" spans="1:29" hidden="1" outlineLevel="1" x14ac:dyDescent="0.25">
      <c r="B160" s="17">
        <f t="shared" si="35"/>
        <v>0</v>
      </c>
      <c r="C160" s="17">
        <f t="shared" si="35"/>
        <v>0</v>
      </c>
      <c r="D160" s="17">
        <f t="shared" si="35"/>
        <v>0</v>
      </c>
      <c r="E160" s="28">
        <f t="shared" si="35"/>
        <v>0</v>
      </c>
      <c r="F160" s="15"/>
      <c r="G160" s="15"/>
      <c r="H160" s="27"/>
      <c r="L160" s="6">
        <v>4</v>
      </c>
      <c r="S160" s="6">
        <v>0</v>
      </c>
      <c r="T160" s="6" t="s">
        <v>170</v>
      </c>
      <c r="U160" s="6" t="s">
        <v>46</v>
      </c>
      <c r="V160" s="6">
        <v>3</v>
      </c>
      <c r="W160" s="6" t="s">
        <v>93</v>
      </c>
      <c r="X160" s="6">
        <v>6</v>
      </c>
      <c r="Y160" s="6">
        <v>0</v>
      </c>
      <c r="Z160" s="6">
        <v>1</v>
      </c>
      <c r="AA160" s="6" t="s">
        <v>4</v>
      </c>
      <c r="AB160" s="6">
        <v>5</v>
      </c>
      <c r="AC160" s="6">
        <f t="shared" si="36"/>
        <v>0</v>
      </c>
    </row>
    <row r="161" spans="1:29" hidden="1" outlineLevel="1" x14ac:dyDescent="0.25">
      <c r="B161" s="17">
        <f t="shared" si="35"/>
        <v>0</v>
      </c>
      <c r="C161" s="17">
        <f t="shared" si="35"/>
        <v>0</v>
      </c>
      <c r="D161" s="17">
        <f t="shared" si="35"/>
        <v>0</v>
      </c>
      <c r="E161" s="28">
        <f t="shared" si="35"/>
        <v>0</v>
      </c>
      <c r="F161" s="15"/>
      <c r="G161" s="15"/>
      <c r="H161" s="27"/>
      <c r="L161" s="6">
        <v>4</v>
      </c>
      <c r="S161" s="6">
        <v>0</v>
      </c>
      <c r="T161" s="6" t="s">
        <v>171</v>
      </c>
      <c r="AC161" s="6">
        <f t="shared" si="36"/>
        <v>0</v>
      </c>
    </row>
    <row r="162" spans="1:29" hidden="1" outlineLevel="1" x14ac:dyDescent="0.25">
      <c r="B162" s="17">
        <f t="shared" si="35"/>
        <v>0</v>
      </c>
      <c r="C162" s="17">
        <f t="shared" si="35"/>
        <v>0</v>
      </c>
      <c r="D162" s="17">
        <f t="shared" si="35"/>
        <v>0</v>
      </c>
      <c r="E162" s="28">
        <f t="shared" si="35"/>
        <v>0</v>
      </c>
      <c r="F162" s="15"/>
      <c r="G162" s="15"/>
      <c r="H162" s="27"/>
      <c r="L162" s="6">
        <v>4</v>
      </c>
      <c r="S162" s="6">
        <v>0</v>
      </c>
      <c r="T162" s="6" t="s">
        <v>172</v>
      </c>
      <c r="U162" s="6" t="s">
        <v>46</v>
      </c>
      <c r="V162" s="6">
        <v>2</v>
      </c>
      <c r="W162" s="6" t="s">
        <v>130</v>
      </c>
      <c r="X162" s="6">
        <v>7</v>
      </c>
      <c r="Y162" s="6">
        <v>-3</v>
      </c>
      <c r="Z162" s="6">
        <v>1</v>
      </c>
      <c r="AA162" s="6" t="s">
        <v>4</v>
      </c>
      <c r="AB162" s="6">
        <v>10</v>
      </c>
      <c r="AC162" s="6">
        <f t="shared" si="36"/>
        <v>0</v>
      </c>
    </row>
    <row r="163" spans="1:29" hidden="1" outlineLevel="1" x14ac:dyDescent="0.25">
      <c r="B163" s="17">
        <f t="shared" si="35"/>
        <v>0</v>
      </c>
      <c r="C163" s="17">
        <f t="shared" si="35"/>
        <v>0</v>
      </c>
      <c r="D163" s="17">
        <f t="shared" si="35"/>
        <v>0</v>
      </c>
      <c r="E163" s="28">
        <f t="shared" si="35"/>
        <v>0</v>
      </c>
      <c r="F163" s="15"/>
      <c r="G163" s="15"/>
      <c r="H163" s="27"/>
      <c r="L163" s="6">
        <v>4</v>
      </c>
      <c r="S163" s="6">
        <v>0</v>
      </c>
      <c r="T163" s="6" t="s">
        <v>173</v>
      </c>
      <c r="U163" s="6" t="s">
        <v>46</v>
      </c>
      <c r="V163" s="6">
        <v>2</v>
      </c>
      <c r="W163" s="6" t="s">
        <v>130</v>
      </c>
      <c r="X163" s="6">
        <v>8</v>
      </c>
      <c r="Y163" s="6">
        <v>-3</v>
      </c>
      <c r="Z163" s="6">
        <v>2</v>
      </c>
      <c r="AA163" s="6" t="s">
        <v>174</v>
      </c>
      <c r="AB163" s="6">
        <v>10</v>
      </c>
      <c r="AC163" s="6">
        <f t="shared" si="36"/>
        <v>0</v>
      </c>
    </row>
    <row r="164" spans="1:29" s="36" customFormat="1" collapsed="1" x14ac:dyDescent="0.25">
      <c r="A164" s="32" t="s">
        <v>183</v>
      </c>
      <c r="B164" s="33">
        <f>SUM(B165:B172)/$AB164*100</f>
        <v>1.1904761904761907</v>
      </c>
      <c r="C164" s="33">
        <f>SUM(C165:C172)/$AB164*100</f>
        <v>0.9920634920634922</v>
      </c>
      <c r="D164" s="33">
        <f>SUM(D165:D172)/$AB164*100</f>
        <v>2.7777777777777772</v>
      </c>
      <c r="E164" s="57">
        <f>SUM(E165:E172)/$AB164*100</f>
        <v>2.2222222222222219</v>
      </c>
      <c r="F164" s="34">
        <f>$I164*$O164/(wound($H$1,F$3,F$4,F$5,F$6,$N164,$R164,$O164)*$AB164)/$K$3</f>
        <v>1.0952380952380956</v>
      </c>
      <c r="G164" s="34">
        <f>$I164*$O164/(wound($H$1,G$3,G$4,G$5,G$6,$N164,$R164,$O164)*$AB164)/$K$5</f>
        <v>0.6428571428571429</v>
      </c>
      <c r="H164" s="35">
        <f>$I164*$O164/(wound($H$1,H$3,H$4,H$5,H$6,$N164,$R164,$O164)*$AB164)/$K$4</f>
        <v>0.91428571428571437</v>
      </c>
      <c r="I164">
        <v>1</v>
      </c>
      <c r="J164" s="36" t="s">
        <v>49</v>
      </c>
      <c r="K164" s="36" t="s">
        <v>50</v>
      </c>
      <c r="L164" s="36">
        <v>4</v>
      </c>
      <c r="M164" s="36">
        <v>5</v>
      </c>
      <c r="N164" s="36">
        <v>5</v>
      </c>
      <c r="O164" s="36">
        <v>6</v>
      </c>
      <c r="P164" s="36">
        <v>1</v>
      </c>
      <c r="Q164" s="36">
        <v>7</v>
      </c>
      <c r="R164" s="36" t="s">
        <v>50</v>
      </c>
      <c r="AB164" s="36">
        <f>30+SUM(AC165:AC172)</f>
        <v>70</v>
      </c>
    </row>
    <row r="165" spans="1:29" hidden="1" outlineLevel="1" x14ac:dyDescent="0.25">
      <c r="B165" s="17">
        <f t="shared" ref="B165:E172" si="37">wound($L165,$V165,$X165,$Y165,$Z165,B$3,B$4,B$6)*$S165</f>
        <v>0</v>
      </c>
      <c r="C165" s="17">
        <f t="shared" si="37"/>
        <v>0</v>
      </c>
      <c r="D165" s="17">
        <f t="shared" si="37"/>
        <v>0</v>
      </c>
      <c r="E165" s="28">
        <f t="shared" si="37"/>
        <v>0</v>
      </c>
      <c r="F165" s="15"/>
      <c r="G165" s="15"/>
      <c r="H165" s="27"/>
      <c r="L165" s="6">
        <v>4</v>
      </c>
      <c r="S165" s="6">
        <v>0</v>
      </c>
      <c r="T165" s="6" t="s">
        <v>108</v>
      </c>
      <c r="U165" s="6" t="s">
        <v>22</v>
      </c>
      <c r="V165" s="6">
        <v>2</v>
      </c>
      <c r="W165" s="6" t="s">
        <v>67</v>
      </c>
      <c r="X165" s="6">
        <v>7</v>
      </c>
      <c r="Y165" s="6">
        <v>-1</v>
      </c>
      <c r="Z165" s="6">
        <v>2</v>
      </c>
      <c r="AA165" s="6" t="s">
        <v>4</v>
      </c>
      <c r="AB165" s="6">
        <v>10</v>
      </c>
      <c r="AC165" s="6">
        <f>AB165*S165</f>
        <v>0</v>
      </c>
    </row>
    <row r="166" spans="1:29" hidden="1" outlineLevel="1" x14ac:dyDescent="0.25">
      <c r="B166" s="17">
        <f t="shared" si="37"/>
        <v>0</v>
      </c>
      <c r="C166" s="17">
        <f t="shared" si="37"/>
        <v>0</v>
      </c>
      <c r="D166" s="17">
        <f t="shared" si="37"/>
        <v>0</v>
      </c>
      <c r="E166" s="28">
        <f t="shared" si="37"/>
        <v>0</v>
      </c>
      <c r="F166" s="15"/>
      <c r="G166" s="15"/>
      <c r="H166" s="27"/>
      <c r="L166" s="6">
        <v>4</v>
      </c>
      <c r="T166" s="6" t="s">
        <v>98</v>
      </c>
      <c r="U166" s="6" t="s">
        <v>49</v>
      </c>
      <c r="V166" s="6">
        <v>3.5</v>
      </c>
      <c r="W166" s="6" t="s">
        <v>99</v>
      </c>
      <c r="X166" s="6">
        <v>5</v>
      </c>
      <c r="Y166" s="6">
        <v>-1</v>
      </c>
      <c r="Z166" s="6">
        <v>1</v>
      </c>
      <c r="AA166" s="6" t="s">
        <v>166</v>
      </c>
      <c r="AB166" s="6">
        <v>14</v>
      </c>
      <c r="AC166" s="6">
        <f t="shared" ref="AC166:AC172" si="38">AB166*S166</f>
        <v>0</v>
      </c>
    </row>
    <row r="167" spans="1:29" hidden="1" outlineLevel="1" x14ac:dyDescent="0.25">
      <c r="B167" s="17">
        <f t="shared" si="37"/>
        <v>0.83333333333333337</v>
      </c>
      <c r="C167" s="17">
        <f t="shared" si="37"/>
        <v>0.69444444444444453</v>
      </c>
      <c r="D167" s="17">
        <f t="shared" si="37"/>
        <v>1.9444444444444442</v>
      </c>
      <c r="E167" s="28">
        <f t="shared" si="37"/>
        <v>1.5555555555555554</v>
      </c>
      <c r="F167" s="15"/>
      <c r="G167" s="15"/>
      <c r="H167" s="27"/>
      <c r="L167" s="6">
        <v>4</v>
      </c>
      <c r="S167" s="6">
        <v>2</v>
      </c>
      <c r="T167" s="6" t="s">
        <v>109</v>
      </c>
      <c r="U167" s="6" t="s">
        <v>22</v>
      </c>
      <c r="V167" s="6">
        <v>1</v>
      </c>
      <c r="W167" s="6" t="s">
        <v>88</v>
      </c>
      <c r="X167" s="6">
        <v>9</v>
      </c>
      <c r="Y167" s="6">
        <v>-3</v>
      </c>
      <c r="Z167" s="6">
        <v>3.5</v>
      </c>
      <c r="AA167" s="6" t="s">
        <v>4</v>
      </c>
      <c r="AB167" s="6">
        <v>20</v>
      </c>
      <c r="AC167" s="6">
        <f t="shared" si="38"/>
        <v>40</v>
      </c>
    </row>
    <row r="168" spans="1:29" hidden="1" outlineLevel="1" x14ac:dyDescent="0.25">
      <c r="B168" s="17">
        <f t="shared" si="37"/>
        <v>0</v>
      </c>
      <c r="C168" s="17">
        <f t="shared" si="37"/>
        <v>0</v>
      </c>
      <c r="D168" s="17">
        <f t="shared" si="37"/>
        <v>0</v>
      </c>
      <c r="E168" s="28">
        <f t="shared" si="37"/>
        <v>0</v>
      </c>
      <c r="F168" s="15"/>
      <c r="G168" s="15"/>
      <c r="H168" s="27"/>
      <c r="L168" s="6">
        <v>4</v>
      </c>
      <c r="T168" s="6" t="s">
        <v>167</v>
      </c>
      <c r="AC168" s="6">
        <f t="shared" si="38"/>
        <v>0</v>
      </c>
    </row>
    <row r="169" spans="1:29" hidden="1" outlineLevel="1" x14ac:dyDescent="0.25">
      <c r="B169" s="17">
        <f t="shared" si="37"/>
        <v>0</v>
      </c>
      <c r="C169" s="17">
        <f t="shared" si="37"/>
        <v>0</v>
      </c>
      <c r="D169" s="17">
        <f t="shared" si="37"/>
        <v>0</v>
      </c>
      <c r="E169" s="28">
        <f t="shared" si="37"/>
        <v>0</v>
      </c>
      <c r="F169" s="15"/>
      <c r="G169" s="15"/>
      <c r="H169" s="27"/>
      <c r="L169" s="6">
        <v>4</v>
      </c>
      <c r="T169" s="6" t="s">
        <v>168</v>
      </c>
      <c r="U169" s="6" t="s">
        <v>22</v>
      </c>
      <c r="V169" s="6">
        <v>3.5</v>
      </c>
      <c r="W169" s="6" t="s">
        <v>99</v>
      </c>
      <c r="X169" s="6">
        <v>4</v>
      </c>
      <c r="Y169" s="6">
        <v>0</v>
      </c>
      <c r="Z169" s="6">
        <v>1</v>
      </c>
      <c r="AB169" s="6">
        <v>15</v>
      </c>
      <c r="AC169" s="6">
        <f t="shared" si="38"/>
        <v>0</v>
      </c>
    </row>
    <row r="170" spans="1:29" hidden="1" outlineLevel="1" x14ac:dyDescent="0.25">
      <c r="B170" s="17">
        <f t="shared" si="37"/>
        <v>0</v>
      </c>
      <c r="C170" s="17">
        <f t="shared" si="37"/>
        <v>0</v>
      </c>
      <c r="D170" s="17">
        <f t="shared" si="37"/>
        <v>0</v>
      </c>
      <c r="E170" s="28">
        <f t="shared" si="37"/>
        <v>0</v>
      </c>
      <c r="F170" s="15"/>
      <c r="G170" s="15"/>
      <c r="H170" s="27"/>
      <c r="L170" s="6">
        <v>4</v>
      </c>
      <c r="T170" s="6" t="s">
        <v>169</v>
      </c>
      <c r="U170" s="6" t="s">
        <v>22</v>
      </c>
      <c r="V170" s="6">
        <v>1</v>
      </c>
      <c r="W170" s="6" t="s">
        <v>88</v>
      </c>
      <c r="X170" s="6">
        <v>8</v>
      </c>
      <c r="Y170" s="6">
        <v>-2</v>
      </c>
      <c r="Z170" s="6">
        <v>3.5</v>
      </c>
      <c r="AB170" s="6">
        <v>15</v>
      </c>
      <c r="AC170" s="6">
        <f t="shared" si="38"/>
        <v>0</v>
      </c>
    </row>
    <row r="171" spans="1:29" hidden="1" outlineLevel="1" x14ac:dyDescent="0.25">
      <c r="B171" s="17">
        <f t="shared" si="37"/>
        <v>0</v>
      </c>
      <c r="C171" s="17">
        <f t="shared" si="37"/>
        <v>0</v>
      </c>
      <c r="D171" s="17">
        <f t="shared" si="37"/>
        <v>0</v>
      </c>
      <c r="E171" s="28">
        <f t="shared" si="37"/>
        <v>0</v>
      </c>
      <c r="F171" s="15"/>
      <c r="G171" s="15"/>
      <c r="H171" s="27"/>
      <c r="L171" s="6">
        <v>4</v>
      </c>
      <c r="S171" s="6">
        <v>0</v>
      </c>
      <c r="T171" s="6" t="s">
        <v>170</v>
      </c>
      <c r="U171" s="6" t="s">
        <v>46</v>
      </c>
      <c r="V171" s="6">
        <v>3</v>
      </c>
      <c r="W171" s="6" t="s">
        <v>93</v>
      </c>
      <c r="X171" s="6">
        <v>6</v>
      </c>
      <c r="Y171" s="6">
        <v>0</v>
      </c>
      <c r="Z171" s="6">
        <v>1</v>
      </c>
      <c r="AA171" s="6" t="s">
        <v>4</v>
      </c>
      <c r="AB171" s="6">
        <v>5</v>
      </c>
      <c r="AC171" s="6">
        <f t="shared" si="38"/>
        <v>0</v>
      </c>
    </row>
    <row r="172" spans="1:29" hidden="1" outlineLevel="1" x14ac:dyDescent="0.25">
      <c r="B172" s="17">
        <f t="shared" si="37"/>
        <v>0</v>
      </c>
      <c r="C172" s="17">
        <f t="shared" si="37"/>
        <v>0</v>
      </c>
      <c r="D172" s="17">
        <f t="shared" si="37"/>
        <v>0</v>
      </c>
      <c r="E172" s="28">
        <f t="shared" si="37"/>
        <v>0</v>
      </c>
      <c r="F172" s="15"/>
      <c r="G172" s="15"/>
      <c r="H172" s="27"/>
      <c r="L172" s="6">
        <v>4</v>
      </c>
      <c r="T172" s="6" t="s">
        <v>173</v>
      </c>
      <c r="U172" s="6" t="s">
        <v>46</v>
      </c>
      <c r="V172" s="6">
        <v>2</v>
      </c>
      <c r="W172" s="6" t="s">
        <v>130</v>
      </c>
      <c r="X172" s="6">
        <v>8</v>
      </c>
      <c r="Y172" s="6">
        <v>-3</v>
      </c>
      <c r="Z172" s="6">
        <v>2</v>
      </c>
      <c r="AA172" s="6" t="s">
        <v>174</v>
      </c>
      <c r="AB172" s="6">
        <v>10</v>
      </c>
      <c r="AC172" s="6">
        <f t="shared" si="38"/>
        <v>0</v>
      </c>
    </row>
    <row r="173" spans="1:29" s="61" customFormat="1" collapsed="1" x14ac:dyDescent="0.25">
      <c r="A173" s="61" t="s">
        <v>161</v>
      </c>
      <c r="B173" s="33">
        <f>SUM(B174:B175)/$AB173*100</f>
        <v>1.3227513227513228</v>
      </c>
      <c r="C173" s="33">
        <f>SUM(C174:C175)/$AB173*100</f>
        <v>0.3968253968253968</v>
      </c>
      <c r="D173" s="33">
        <f>SUM(D174:D175)/$AB173*100</f>
        <v>0.79365079365079361</v>
      </c>
      <c r="E173" s="57">
        <f>SUM(E174:E175)/$AB173*100</f>
        <v>0.79365079365079361</v>
      </c>
      <c r="F173" s="34">
        <f>$I173*$O173/(wound($H$1,F$3,F$4,F$5,F$6,$N173,$R173,$O173)*$AB173)/$K$3</f>
        <v>1.5972222222222228</v>
      </c>
      <c r="G173" s="34">
        <f>$I173*$O173/(wound($H$1,G$3,G$4,G$5,G$6,$N173,$R173,$O173)*$AB173)/$K$5</f>
        <v>1.0714285714285714</v>
      </c>
      <c r="H173" s="35">
        <f>$I173*$O173/(wound($H$1,H$3,H$4,H$5,H$6,$N173,$R173,$O173)*$AB173)/$K$4</f>
        <v>2.285714285714286</v>
      </c>
      <c r="I173" s="62">
        <v>6</v>
      </c>
      <c r="J173" s="61" t="s">
        <v>7</v>
      </c>
      <c r="K173" s="61" t="s">
        <v>2</v>
      </c>
      <c r="L173" s="61">
        <v>4</v>
      </c>
      <c r="M173" s="61">
        <v>5</v>
      </c>
      <c r="N173" s="61">
        <v>5</v>
      </c>
      <c r="O173" s="61">
        <v>3</v>
      </c>
      <c r="P173" s="61">
        <v>3</v>
      </c>
      <c r="Q173" s="61">
        <v>7</v>
      </c>
      <c r="R173" s="61" t="s">
        <v>1</v>
      </c>
      <c r="AB173" s="61">
        <f>I173*35+S174*AB174+S175*AB175</f>
        <v>252</v>
      </c>
    </row>
    <row r="174" spans="1:29" hidden="1" outlineLevel="1" x14ac:dyDescent="0.25">
      <c r="B174" s="17">
        <f t="shared" ref="B174:E175" si="39">wound($L174,$V174,$X174,$Y174,$Z174,B$3,B$4,B$6)*$S174</f>
        <v>0</v>
      </c>
      <c r="C174" s="17">
        <f t="shared" si="39"/>
        <v>0</v>
      </c>
      <c r="D174" s="17">
        <f t="shared" si="39"/>
        <v>0</v>
      </c>
      <c r="E174" s="28">
        <f t="shared" si="39"/>
        <v>0</v>
      </c>
      <c r="L174" s="60">
        <v>4</v>
      </c>
      <c r="S174" s="6">
        <v>0</v>
      </c>
      <c r="T174" s="6" t="s">
        <v>189</v>
      </c>
      <c r="U174" s="6" t="s">
        <v>3</v>
      </c>
      <c r="V174" s="60">
        <v>3.5</v>
      </c>
      <c r="W174" s="6" t="s">
        <v>190</v>
      </c>
      <c r="X174" s="6">
        <v>4</v>
      </c>
      <c r="Y174" s="6">
        <v>0</v>
      </c>
      <c r="Z174" s="6">
        <v>1</v>
      </c>
      <c r="AA174" s="6" t="s">
        <v>4</v>
      </c>
      <c r="AB174" s="60">
        <v>5</v>
      </c>
    </row>
    <row r="175" spans="1:29" hidden="1" outlineLevel="1" x14ac:dyDescent="0.25">
      <c r="B175" s="17">
        <f t="shared" si="39"/>
        <v>3.333333333333333</v>
      </c>
      <c r="C175" s="17">
        <f t="shared" si="39"/>
        <v>1</v>
      </c>
      <c r="D175" s="17">
        <f t="shared" si="39"/>
        <v>2</v>
      </c>
      <c r="E175" s="28">
        <f t="shared" si="39"/>
        <v>2</v>
      </c>
      <c r="L175" s="60">
        <v>3</v>
      </c>
      <c r="S175" s="6">
        <v>6</v>
      </c>
      <c r="T175" s="6" t="s">
        <v>191</v>
      </c>
      <c r="U175" s="6" t="s">
        <v>192</v>
      </c>
      <c r="V175" s="60">
        <v>3</v>
      </c>
      <c r="W175" s="6" t="s">
        <v>192</v>
      </c>
      <c r="X175" s="6">
        <v>2</v>
      </c>
      <c r="Y175" s="6">
        <v>-1</v>
      </c>
      <c r="Z175" s="6">
        <v>2</v>
      </c>
      <c r="AA175" s="6" t="s">
        <v>4</v>
      </c>
      <c r="AB175" s="60">
        <v>7</v>
      </c>
    </row>
    <row r="176" spans="1:29" s="36" customFormat="1" collapsed="1" x14ac:dyDescent="0.25">
      <c r="A176" s="40" t="s">
        <v>118</v>
      </c>
      <c r="B176" s="46">
        <f>SUM(B177:B183)/$AB176*100</f>
        <v>3.125</v>
      </c>
      <c r="C176" s="46">
        <f>SUM(C177:C183)/$AB176*100</f>
        <v>1.2896825396825395</v>
      </c>
      <c r="D176" s="46">
        <f>SUM(D177:D183)/$AB176*100</f>
        <v>1.7857142857142856</v>
      </c>
      <c r="E176" s="54">
        <f>SUM(E177:E183)/$AB176*100</f>
        <v>1.7857142857142856</v>
      </c>
      <c r="F176" s="34">
        <f>$I176*$O176/(wound($H$1,F$3,F$4,F$5,F$6,$N176,$R176,$O176)*$AB176)/$K$3</f>
        <v>6.3888888888888902</v>
      </c>
      <c r="G176" s="34">
        <f>$I176*$O176/(wound($H$1,G$3,G$4,G$5,G$6,$N176,$R176,$O176)*$AB176)/$K$5</f>
        <v>0.8035714285714286</v>
      </c>
      <c r="H176" s="35">
        <f>$I176*$O176/(wound($H$1,H$3,H$4,H$5,H$6,$N176,$R176,$O176)*$AB176)/$K$4</f>
        <v>0.71428571428571441</v>
      </c>
      <c r="I176">
        <v>10</v>
      </c>
      <c r="J176" s="40" t="s">
        <v>7</v>
      </c>
      <c r="K176" s="40" t="s">
        <v>50</v>
      </c>
      <c r="M176" s="40">
        <v>3</v>
      </c>
      <c r="N176" s="40">
        <v>3</v>
      </c>
      <c r="O176" s="40">
        <v>1</v>
      </c>
      <c r="P176" s="40">
        <v>2</v>
      </c>
      <c r="Q176" s="40">
        <v>6</v>
      </c>
      <c r="R176" s="40" t="s">
        <v>103</v>
      </c>
      <c r="AB176" s="36">
        <f>4+4*S177+S178*AB178+S179*AB179+S180*AB180+S181*AB181+S182*AB182+S183*AB183</f>
        <v>56</v>
      </c>
    </row>
    <row r="177" spans="1:29" hidden="1" outlineLevel="1" x14ac:dyDescent="0.25">
      <c r="B177" s="17">
        <f t="shared" ref="B177:E184" si="40">wound($L177,$V177,$X177,$Y177,$Z177,B$3,B$4,B$6)*$S177</f>
        <v>1.3333333333333333</v>
      </c>
      <c r="C177" s="17">
        <f t="shared" si="40"/>
        <v>0.44444444444444442</v>
      </c>
      <c r="D177" s="17">
        <f t="shared" si="40"/>
        <v>0.22222222222222221</v>
      </c>
      <c r="E177" s="28">
        <f t="shared" si="40"/>
        <v>0.22222222222222221</v>
      </c>
      <c r="F177" s="38"/>
      <c r="G177" s="38"/>
      <c r="H177" s="39"/>
      <c r="L177" s="7">
        <v>4</v>
      </c>
      <c r="S177" s="7">
        <v>8</v>
      </c>
      <c r="T177" s="7" t="s">
        <v>104</v>
      </c>
      <c r="U177" s="7">
        <v>24</v>
      </c>
      <c r="V177" s="13">
        <v>1</v>
      </c>
      <c r="W177" s="7" t="s">
        <v>105</v>
      </c>
      <c r="X177" s="7">
        <v>3</v>
      </c>
      <c r="Y177" s="7">
        <v>0</v>
      </c>
      <c r="Z177" s="7">
        <v>1</v>
      </c>
      <c r="AA177" s="7" t="s">
        <v>4</v>
      </c>
    </row>
    <row r="178" spans="1:29" hidden="1" outlineLevel="1" x14ac:dyDescent="0.25">
      <c r="B178" s="17">
        <f t="shared" si="40"/>
        <v>0</v>
      </c>
      <c r="C178" s="17">
        <f t="shared" si="40"/>
        <v>0</v>
      </c>
      <c r="D178" s="17">
        <f t="shared" si="40"/>
        <v>0</v>
      </c>
      <c r="E178" s="28">
        <f t="shared" si="40"/>
        <v>0</v>
      </c>
      <c r="F178" s="15"/>
      <c r="G178" s="15"/>
      <c r="H178" s="27"/>
      <c r="L178" s="7">
        <v>4</v>
      </c>
      <c r="S178" s="6">
        <v>0</v>
      </c>
      <c r="T178" s="7" t="s">
        <v>106</v>
      </c>
      <c r="U178" s="7" t="s">
        <v>22</v>
      </c>
      <c r="V178" s="13">
        <v>3.5</v>
      </c>
      <c r="W178" s="7" t="s">
        <v>99</v>
      </c>
      <c r="X178" s="7">
        <v>4</v>
      </c>
      <c r="Y178" s="7">
        <v>0</v>
      </c>
      <c r="Z178" s="7">
        <v>1</v>
      </c>
      <c r="AA178" s="7" t="s">
        <v>107</v>
      </c>
      <c r="AB178" s="7">
        <v>5</v>
      </c>
    </row>
    <row r="179" spans="1:29" hidden="1" outlineLevel="1" x14ac:dyDescent="0.25">
      <c r="B179" s="17">
        <f t="shared" si="40"/>
        <v>0</v>
      </c>
      <c r="C179" s="17">
        <f t="shared" si="40"/>
        <v>0</v>
      </c>
      <c r="D179" s="17">
        <f t="shared" si="40"/>
        <v>0</v>
      </c>
      <c r="E179" s="28">
        <f t="shared" si="40"/>
        <v>0</v>
      </c>
      <c r="F179" s="15"/>
      <c r="G179" s="15"/>
      <c r="H179" s="27"/>
      <c r="L179" s="7">
        <v>4</v>
      </c>
      <c r="S179" s="6">
        <v>0</v>
      </c>
      <c r="T179" s="7" t="s">
        <v>21</v>
      </c>
      <c r="U179" s="7" t="s">
        <v>22</v>
      </c>
      <c r="V179" s="13">
        <v>3.5</v>
      </c>
      <c r="W179" s="7" t="s">
        <v>99</v>
      </c>
      <c r="X179" s="7">
        <v>4</v>
      </c>
      <c r="Y179" s="7">
        <v>0</v>
      </c>
      <c r="Z179" s="7">
        <v>1</v>
      </c>
      <c r="AA179" s="7" t="s">
        <v>4</v>
      </c>
      <c r="AB179" s="7">
        <v>15</v>
      </c>
    </row>
    <row r="180" spans="1:29" hidden="1" outlineLevel="1" x14ac:dyDescent="0.25">
      <c r="B180" s="17">
        <f t="shared" si="40"/>
        <v>0</v>
      </c>
      <c r="C180" s="17">
        <f t="shared" si="40"/>
        <v>0</v>
      </c>
      <c r="D180" s="17">
        <f t="shared" si="40"/>
        <v>0</v>
      </c>
      <c r="E180" s="28">
        <f t="shared" si="40"/>
        <v>0</v>
      </c>
      <c r="F180" s="15"/>
      <c r="G180" s="15"/>
      <c r="H180" s="27"/>
      <c r="L180" s="7">
        <v>4</v>
      </c>
      <c r="T180" s="7" t="s">
        <v>23</v>
      </c>
      <c r="U180" s="7" t="s">
        <v>22</v>
      </c>
      <c r="V180" s="13">
        <v>1</v>
      </c>
      <c r="W180" s="7" t="s">
        <v>88</v>
      </c>
      <c r="X180" s="7">
        <v>8</v>
      </c>
      <c r="Y180" s="7">
        <v>-1</v>
      </c>
      <c r="Z180" s="7">
        <v>3.5</v>
      </c>
      <c r="AA180" s="7" t="s">
        <v>4</v>
      </c>
      <c r="AB180" s="6">
        <v>15</v>
      </c>
    </row>
    <row r="181" spans="1:29" hidden="1" outlineLevel="1" x14ac:dyDescent="0.25">
      <c r="B181" s="17">
        <f t="shared" si="40"/>
        <v>0</v>
      </c>
      <c r="C181" s="17">
        <f t="shared" si="40"/>
        <v>0</v>
      </c>
      <c r="D181" s="17">
        <f t="shared" si="40"/>
        <v>0</v>
      </c>
      <c r="E181" s="28">
        <f t="shared" si="40"/>
        <v>0</v>
      </c>
      <c r="F181" s="15"/>
      <c r="G181" s="15"/>
      <c r="H181" s="27"/>
      <c r="L181" s="7">
        <v>4</v>
      </c>
      <c r="T181" s="7" t="s">
        <v>108</v>
      </c>
      <c r="U181" s="7" t="s">
        <v>22</v>
      </c>
      <c r="V181" s="13">
        <v>2</v>
      </c>
      <c r="W181" s="7" t="s">
        <v>67</v>
      </c>
      <c r="X181" s="7">
        <v>7</v>
      </c>
      <c r="Y181" s="7">
        <v>-1</v>
      </c>
      <c r="Z181" s="7">
        <v>2</v>
      </c>
      <c r="AA181" s="7" t="s">
        <v>4</v>
      </c>
      <c r="AB181" s="7">
        <v>10</v>
      </c>
    </row>
    <row r="182" spans="1:29" hidden="1" outlineLevel="1" x14ac:dyDescent="0.25">
      <c r="B182" s="17">
        <f t="shared" si="40"/>
        <v>0</v>
      </c>
      <c r="C182" s="17">
        <f t="shared" si="40"/>
        <v>0</v>
      </c>
      <c r="D182" s="17">
        <f t="shared" si="40"/>
        <v>0</v>
      </c>
      <c r="E182" s="28">
        <f t="shared" si="40"/>
        <v>0</v>
      </c>
      <c r="F182" s="15"/>
      <c r="G182" s="15"/>
      <c r="H182" s="27"/>
      <c r="L182" s="7">
        <v>4</v>
      </c>
      <c r="S182" s="6">
        <v>0</v>
      </c>
      <c r="T182" s="7" t="s">
        <v>45</v>
      </c>
      <c r="U182" s="7" t="s">
        <v>46</v>
      </c>
      <c r="V182" s="13">
        <v>3</v>
      </c>
      <c r="W182" s="7" t="s">
        <v>93</v>
      </c>
      <c r="X182" s="7">
        <v>5</v>
      </c>
      <c r="Y182" s="7">
        <v>-1</v>
      </c>
      <c r="Z182" s="7">
        <v>1</v>
      </c>
      <c r="AA182" s="7" t="s">
        <v>4</v>
      </c>
      <c r="AB182" s="7">
        <v>8</v>
      </c>
    </row>
    <row r="183" spans="1:29" hidden="1" outlineLevel="1" x14ac:dyDescent="0.25">
      <c r="B183" s="17">
        <f t="shared" si="40"/>
        <v>0.41666666666666669</v>
      </c>
      <c r="C183" s="17">
        <f t="shared" si="40"/>
        <v>0.27777777777777779</v>
      </c>
      <c r="D183" s="17">
        <f t="shared" si="40"/>
        <v>0.77777777777777768</v>
      </c>
      <c r="E183" s="28">
        <f t="shared" si="40"/>
        <v>0.77777777777777768</v>
      </c>
      <c r="F183" s="15"/>
      <c r="G183" s="15"/>
      <c r="H183" s="27"/>
      <c r="L183" s="7">
        <v>4</v>
      </c>
      <c r="S183" s="6">
        <v>1</v>
      </c>
      <c r="T183" s="7" t="s">
        <v>109</v>
      </c>
      <c r="U183" s="7" t="s">
        <v>22</v>
      </c>
      <c r="V183" s="13">
        <v>1</v>
      </c>
      <c r="W183" s="7" t="s">
        <v>88</v>
      </c>
      <c r="X183" s="7">
        <v>9</v>
      </c>
      <c r="Y183" s="7">
        <v>-2</v>
      </c>
      <c r="Z183" s="7">
        <v>3.5</v>
      </c>
      <c r="AA183" s="7" t="s">
        <v>4</v>
      </c>
      <c r="AB183" s="7">
        <v>20</v>
      </c>
    </row>
    <row r="184" spans="1:29" hidden="1" outlineLevel="1" x14ac:dyDescent="0.25">
      <c r="B184" s="17">
        <f t="shared" si="40"/>
        <v>0</v>
      </c>
      <c r="C184" s="17">
        <f t="shared" si="40"/>
        <v>0</v>
      </c>
      <c r="D184" s="17">
        <f t="shared" si="40"/>
        <v>0</v>
      </c>
      <c r="E184" s="28">
        <f t="shared" si="40"/>
        <v>0</v>
      </c>
      <c r="F184" s="15"/>
      <c r="G184" s="15"/>
      <c r="H184" s="27"/>
      <c r="L184" s="7"/>
      <c r="T184" s="7" t="s">
        <v>184</v>
      </c>
      <c r="U184" s="7"/>
      <c r="V184" s="13"/>
      <c r="W184" s="7"/>
      <c r="X184" s="7"/>
      <c r="Y184" s="7"/>
      <c r="Z184" s="7"/>
      <c r="AA184" s="7"/>
      <c r="AB184" s="7">
        <v>10</v>
      </c>
    </row>
    <row r="185" spans="1:29" s="31" customFormat="1" collapsed="1" x14ac:dyDescent="0.25">
      <c r="A185" s="7" t="s">
        <v>140</v>
      </c>
      <c r="B185" s="30">
        <f>SUM(B186:B195)/$AB185*100</f>
        <v>3.5493827160493825</v>
      </c>
      <c r="C185" s="30">
        <f>SUM(C186:C195)/$AB185*100</f>
        <v>1.4917695473251031</v>
      </c>
      <c r="D185" s="30">
        <f>SUM(D186:D195)/$AB185*100</f>
        <v>2.0061728395061729</v>
      </c>
      <c r="E185" s="52">
        <f>SUM(E186:E195)/$AB185*100</f>
        <v>1.8518518518518516</v>
      </c>
      <c r="F185" s="34">
        <f>$I185*$O185/(wound($H$1,F$3,F$4,F$5,F$6,$N185,$R185,$O185)*$AB185)/$K$3</f>
        <v>4.969135802469137</v>
      </c>
      <c r="G185" s="34">
        <f>$I185*$O185/(wound($H$1,G$3,G$4,G$5,G$6,$N185,$R185,$O185)*$AB185)/$K$5</f>
        <v>0.62500000000000011</v>
      </c>
      <c r="H185" s="35">
        <f>$I185*$O185/(wound($H$1,H$3,H$4,H$5,H$6,$N185,$R185,$O185)*$AB185)/$K$4</f>
        <v>0.55555555555555558</v>
      </c>
      <c r="I185">
        <v>10</v>
      </c>
      <c r="J185" s="7" t="s">
        <v>7</v>
      </c>
      <c r="K185" s="7" t="s">
        <v>50</v>
      </c>
      <c r="L185" s="7">
        <v>3</v>
      </c>
      <c r="M185" s="7">
        <v>3</v>
      </c>
      <c r="N185" s="7">
        <v>3</v>
      </c>
      <c r="O185" s="7">
        <v>1</v>
      </c>
      <c r="P185" s="7">
        <v>2</v>
      </c>
      <c r="Q185" s="7">
        <v>6</v>
      </c>
      <c r="R185" s="7" t="s">
        <v>103</v>
      </c>
      <c r="AB185" s="6">
        <f>6+5*S186+SUM(AC187:AC195)</f>
        <v>72</v>
      </c>
    </row>
    <row r="186" spans="1:29" hidden="1" outlineLevel="1" x14ac:dyDescent="0.25">
      <c r="B186" s="17">
        <f t="shared" ref="B186:E195" si="41">wound($L186,$V186,$X186,$Y186,$Z186,B$3,B$4,B$6)*$S186</f>
        <v>1.1111111111111112</v>
      </c>
      <c r="C186" s="17">
        <f t="shared" si="41"/>
        <v>0.37037037037037035</v>
      </c>
      <c r="D186" s="17">
        <f t="shared" si="41"/>
        <v>0.18518518518518517</v>
      </c>
      <c r="E186" s="28">
        <f t="shared" si="41"/>
        <v>0.18518518518518517</v>
      </c>
      <c r="F186" s="6"/>
      <c r="G186" s="6"/>
      <c r="H186" s="56"/>
      <c r="L186" s="7">
        <v>3</v>
      </c>
      <c r="S186" s="7">
        <v>5</v>
      </c>
      <c r="T186" s="7" t="s">
        <v>104</v>
      </c>
      <c r="U186" s="7">
        <v>24</v>
      </c>
      <c r="V186" s="13">
        <v>1</v>
      </c>
      <c r="W186" s="7" t="s">
        <v>105</v>
      </c>
      <c r="X186" s="7">
        <v>3</v>
      </c>
      <c r="Y186" s="7">
        <v>0</v>
      </c>
      <c r="Z186" s="7">
        <v>1</v>
      </c>
      <c r="AA186" s="7" t="s">
        <v>4</v>
      </c>
    </row>
    <row r="187" spans="1:29" hidden="1" outlineLevel="1" x14ac:dyDescent="0.25">
      <c r="A187" s="7"/>
      <c r="B187" s="17">
        <f t="shared" si="41"/>
        <v>0.88888888888888884</v>
      </c>
      <c r="C187" s="17">
        <f t="shared" si="41"/>
        <v>0.33333333333333331</v>
      </c>
      <c r="D187" s="17">
        <f t="shared" si="41"/>
        <v>0.22222222222222221</v>
      </c>
      <c r="E187" s="28">
        <f t="shared" si="41"/>
        <v>0.1111111111111111</v>
      </c>
      <c r="F187" s="15"/>
      <c r="G187" s="15"/>
      <c r="H187" s="27"/>
      <c r="J187" s="7"/>
      <c r="K187" s="7"/>
      <c r="L187" s="7">
        <v>3</v>
      </c>
      <c r="M187" s="7"/>
      <c r="N187" s="7"/>
      <c r="O187" s="7"/>
      <c r="P187" s="7"/>
      <c r="Q187" s="7"/>
      <c r="R187" s="7"/>
      <c r="S187" s="7">
        <v>3</v>
      </c>
      <c r="T187" s="7" t="s">
        <v>141</v>
      </c>
      <c r="U187" s="7" t="s">
        <v>46</v>
      </c>
      <c r="V187" s="13">
        <v>1</v>
      </c>
      <c r="W187" s="7" t="s">
        <v>88</v>
      </c>
      <c r="X187" s="7">
        <v>4</v>
      </c>
      <c r="Y187" s="7">
        <v>0</v>
      </c>
      <c r="Z187" s="7">
        <v>1</v>
      </c>
      <c r="AA187" s="7"/>
      <c r="AB187" s="7">
        <v>7</v>
      </c>
      <c r="AC187" s="6">
        <f>S187*AB187</f>
        <v>21</v>
      </c>
    </row>
    <row r="188" spans="1:29" hidden="1" outlineLevel="1" x14ac:dyDescent="0.25">
      <c r="A188" s="7"/>
      <c r="B188" s="17">
        <f t="shared" si="41"/>
        <v>0</v>
      </c>
      <c r="C188" s="17">
        <f t="shared" si="41"/>
        <v>0</v>
      </c>
      <c r="D188" s="17">
        <f t="shared" si="41"/>
        <v>0</v>
      </c>
      <c r="E188" s="28">
        <f t="shared" si="41"/>
        <v>0</v>
      </c>
      <c r="F188" s="15"/>
      <c r="G188" s="15"/>
      <c r="H188" s="27"/>
      <c r="J188" s="7"/>
      <c r="K188" s="7"/>
      <c r="L188" s="7">
        <v>3</v>
      </c>
      <c r="M188" s="7"/>
      <c r="N188" s="7"/>
      <c r="O188" s="7"/>
      <c r="P188" s="7"/>
      <c r="Q188" s="7"/>
      <c r="R188" s="7"/>
      <c r="S188" s="7">
        <v>0</v>
      </c>
      <c r="T188" s="7" t="s">
        <v>178</v>
      </c>
      <c r="U188" s="7" t="s">
        <v>6</v>
      </c>
      <c r="V188" s="13">
        <v>1</v>
      </c>
      <c r="W188" s="7" t="s">
        <v>58</v>
      </c>
      <c r="X188" s="7">
        <v>7</v>
      </c>
      <c r="Y188" s="7">
        <v>-3</v>
      </c>
      <c r="Z188" s="7">
        <v>1</v>
      </c>
      <c r="AA188" s="7"/>
      <c r="AB188" s="7">
        <v>11</v>
      </c>
      <c r="AC188" s="6">
        <f t="shared" ref="AC188:AC190" si="42">S188*AB188</f>
        <v>0</v>
      </c>
    </row>
    <row r="189" spans="1:29" hidden="1" outlineLevel="1" x14ac:dyDescent="0.25">
      <c r="A189" s="7"/>
      <c r="B189" s="17">
        <f t="shared" si="41"/>
        <v>0</v>
      </c>
      <c r="C189" s="17">
        <f t="shared" si="41"/>
        <v>0</v>
      </c>
      <c r="D189" s="17">
        <f t="shared" si="41"/>
        <v>0</v>
      </c>
      <c r="E189" s="28">
        <f t="shared" si="41"/>
        <v>0</v>
      </c>
      <c r="F189" s="15"/>
      <c r="G189" s="15"/>
      <c r="H189" s="27"/>
      <c r="J189" s="7"/>
      <c r="K189" s="7"/>
      <c r="L189" s="7">
        <v>3</v>
      </c>
      <c r="M189" s="7"/>
      <c r="N189" s="7"/>
      <c r="O189" s="7"/>
      <c r="P189" s="7"/>
      <c r="Q189" s="7"/>
      <c r="R189" s="7"/>
      <c r="S189" s="7">
        <v>0</v>
      </c>
      <c r="T189" s="7" t="s">
        <v>179</v>
      </c>
      <c r="U189" s="7"/>
      <c r="V189" s="13">
        <v>1</v>
      </c>
      <c r="W189" s="7" t="s">
        <v>58</v>
      </c>
      <c r="X189" s="7">
        <v>8</v>
      </c>
      <c r="Y189" s="7">
        <v>-3</v>
      </c>
      <c r="Z189" s="7">
        <v>2</v>
      </c>
      <c r="AA189" s="7"/>
      <c r="AB189" s="7">
        <v>11</v>
      </c>
      <c r="AC189" s="6">
        <f t="shared" si="42"/>
        <v>0</v>
      </c>
    </row>
    <row r="190" spans="1:29" hidden="1" outlineLevel="1" x14ac:dyDescent="0.25">
      <c r="B190" s="17">
        <f t="shared" si="41"/>
        <v>0</v>
      </c>
      <c r="C190" s="17">
        <f t="shared" si="41"/>
        <v>0</v>
      </c>
      <c r="D190" s="17">
        <f t="shared" si="41"/>
        <v>0</v>
      </c>
      <c r="E190" s="28">
        <f t="shared" si="41"/>
        <v>0</v>
      </c>
      <c r="F190" s="15"/>
      <c r="G190" s="15"/>
      <c r="H190" s="27"/>
      <c r="L190" s="7">
        <v>3</v>
      </c>
      <c r="S190" s="6">
        <v>0</v>
      </c>
      <c r="T190" s="7" t="s">
        <v>106</v>
      </c>
      <c r="U190" s="7" t="s">
        <v>22</v>
      </c>
      <c r="V190" s="13">
        <v>3.5</v>
      </c>
      <c r="W190" s="7" t="s">
        <v>99</v>
      </c>
      <c r="X190" s="7">
        <v>4</v>
      </c>
      <c r="Y190" s="7">
        <v>0</v>
      </c>
      <c r="Z190" s="7">
        <v>1</v>
      </c>
      <c r="AA190" s="7" t="s">
        <v>107</v>
      </c>
      <c r="AB190" s="7">
        <v>5</v>
      </c>
      <c r="AC190" s="6">
        <f t="shared" si="42"/>
        <v>0</v>
      </c>
    </row>
    <row r="191" spans="1:29" hidden="1" outlineLevel="1" x14ac:dyDescent="0.25">
      <c r="B191" s="17">
        <f t="shared" si="41"/>
        <v>0</v>
      </c>
      <c r="C191" s="17">
        <f t="shared" si="41"/>
        <v>0</v>
      </c>
      <c r="D191" s="17">
        <f t="shared" si="41"/>
        <v>0</v>
      </c>
      <c r="E191" s="28">
        <f t="shared" si="41"/>
        <v>0</v>
      </c>
      <c r="F191" s="15"/>
      <c r="G191" s="15"/>
      <c r="H191" s="27"/>
      <c r="L191" s="7">
        <v>3</v>
      </c>
      <c r="S191" s="6">
        <v>0</v>
      </c>
      <c r="T191" s="7" t="s">
        <v>21</v>
      </c>
      <c r="U191" s="7" t="s">
        <v>22</v>
      </c>
      <c r="V191" s="13">
        <v>3.5</v>
      </c>
      <c r="W191" s="7" t="s">
        <v>99</v>
      </c>
      <c r="X191" s="7">
        <v>4</v>
      </c>
      <c r="Y191" s="7">
        <v>0</v>
      </c>
      <c r="Z191" s="7">
        <v>1</v>
      </c>
      <c r="AA191" s="7" t="s">
        <v>4</v>
      </c>
      <c r="AB191" s="7">
        <v>15</v>
      </c>
      <c r="AC191" s="6">
        <f t="shared" ref="AC191:AC195" si="43">S191*AB191</f>
        <v>0</v>
      </c>
    </row>
    <row r="192" spans="1:29" hidden="1" outlineLevel="1" x14ac:dyDescent="0.25">
      <c r="B192" s="17">
        <f t="shared" si="41"/>
        <v>0</v>
      </c>
      <c r="C192" s="17">
        <f t="shared" si="41"/>
        <v>0</v>
      </c>
      <c r="D192" s="17">
        <f t="shared" si="41"/>
        <v>0</v>
      </c>
      <c r="E192" s="28">
        <f t="shared" si="41"/>
        <v>0</v>
      </c>
      <c r="F192" s="15"/>
      <c r="G192" s="15"/>
      <c r="H192" s="27"/>
      <c r="L192" s="7">
        <v>3</v>
      </c>
      <c r="T192" s="7" t="s">
        <v>23</v>
      </c>
      <c r="U192" s="7" t="s">
        <v>22</v>
      </c>
      <c r="V192" s="13">
        <v>1</v>
      </c>
      <c r="W192" s="7" t="s">
        <v>88</v>
      </c>
      <c r="X192" s="7">
        <v>8</v>
      </c>
      <c r="Y192" s="7">
        <v>-1</v>
      </c>
      <c r="Z192" s="7">
        <v>3.5</v>
      </c>
      <c r="AA192" s="7" t="s">
        <v>4</v>
      </c>
      <c r="AB192" s="6">
        <v>15</v>
      </c>
      <c r="AC192" s="6">
        <f t="shared" si="43"/>
        <v>0</v>
      </c>
    </row>
    <row r="193" spans="2:29" hidden="1" outlineLevel="1" x14ac:dyDescent="0.25">
      <c r="B193" s="17">
        <f t="shared" si="41"/>
        <v>0</v>
      </c>
      <c r="C193" s="17">
        <f t="shared" si="41"/>
        <v>0</v>
      </c>
      <c r="D193" s="17">
        <f t="shared" si="41"/>
        <v>0</v>
      </c>
      <c r="E193" s="28">
        <f t="shared" si="41"/>
        <v>0</v>
      </c>
      <c r="F193" s="15"/>
      <c r="G193" s="15"/>
      <c r="H193" s="27"/>
      <c r="L193" s="7">
        <v>3</v>
      </c>
      <c r="T193" s="7" t="s">
        <v>108</v>
      </c>
      <c r="U193" s="7" t="s">
        <v>22</v>
      </c>
      <c r="V193" s="13">
        <v>2</v>
      </c>
      <c r="W193" s="7" t="s">
        <v>67</v>
      </c>
      <c r="X193" s="7">
        <v>7</v>
      </c>
      <c r="Y193" s="7">
        <v>-1</v>
      </c>
      <c r="Z193" s="7">
        <v>2</v>
      </c>
      <c r="AA193" s="7" t="s">
        <v>4</v>
      </c>
      <c r="AB193" s="7">
        <v>10</v>
      </c>
      <c r="AC193" s="6">
        <f t="shared" si="43"/>
        <v>0</v>
      </c>
    </row>
    <row r="194" spans="2:29" hidden="1" outlineLevel="1" x14ac:dyDescent="0.25">
      <c r="B194" s="17">
        <f t="shared" si="41"/>
        <v>0</v>
      </c>
      <c r="C194" s="17">
        <f t="shared" si="41"/>
        <v>0</v>
      </c>
      <c r="D194" s="17">
        <f t="shared" si="41"/>
        <v>0</v>
      </c>
      <c r="E194" s="28">
        <f t="shared" si="41"/>
        <v>0</v>
      </c>
      <c r="F194" s="15"/>
      <c r="G194" s="15"/>
      <c r="H194" s="27"/>
      <c r="L194" s="7">
        <v>3</v>
      </c>
      <c r="S194" s="6">
        <v>0</v>
      </c>
      <c r="T194" s="7" t="s">
        <v>45</v>
      </c>
      <c r="U194" s="7" t="s">
        <v>46</v>
      </c>
      <c r="V194" s="13">
        <v>3</v>
      </c>
      <c r="W194" s="7" t="s">
        <v>93</v>
      </c>
      <c r="X194" s="7">
        <v>5</v>
      </c>
      <c r="Y194" s="7">
        <v>-1</v>
      </c>
      <c r="Z194" s="7">
        <v>1</v>
      </c>
      <c r="AA194" s="7" t="s">
        <v>4</v>
      </c>
      <c r="AB194" s="7">
        <v>8</v>
      </c>
      <c r="AC194" s="6">
        <f t="shared" si="43"/>
        <v>0</v>
      </c>
    </row>
    <row r="195" spans="2:29" hidden="1" outlineLevel="1" x14ac:dyDescent="0.25">
      <c r="B195" s="17">
        <f t="shared" si="41"/>
        <v>0.55555555555555558</v>
      </c>
      <c r="C195" s="17">
        <f t="shared" si="41"/>
        <v>0.37037037037037041</v>
      </c>
      <c r="D195" s="17">
        <f t="shared" si="41"/>
        <v>1.037037037037037</v>
      </c>
      <c r="E195" s="28">
        <f t="shared" si="41"/>
        <v>1.037037037037037</v>
      </c>
      <c r="F195" s="15"/>
      <c r="G195" s="15"/>
      <c r="H195" s="27"/>
      <c r="L195" s="7">
        <v>3</v>
      </c>
      <c r="S195" s="6">
        <v>1</v>
      </c>
      <c r="T195" s="7" t="s">
        <v>109</v>
      </c>
      <c r="U195" s="7" t="s">
        <v>22</v>
      </c>
      <c r="V195" s="13">
        <v>1</v>
      </c>
      <c r="W195" s="7" t="s">
        <v>88</v>
      </c>
      <c r="X195" s="7">
        <v>9</v>
      </c>
      <c r="Y195" s="7">
        <v>-2</v>
      </c>
      <c r="Z195" s="7">
        <v>3.5</v>
      </c>
      <c r="AA195" s="7" t="s">
        <v>4</v>
      </c>
      <c r="AB195" s="7">
        <v>20</v>
      </c>
      <c r="AC195" s="6">
        <f t="shared" si="43"/>
        <v>20</v>
      </c>
    </row>
  </sheetData>
  <phoneticPr fontId="6" type="noConversion"/>
  <conditionalFormatting sqref="B164:E164 B137:E137 B140:E140 B16:I16 B9:I9 B10:E13 B15:E16 B18:E20 B23:I25 B22:E25 B27:E27 B30:I30 B29:E30 B32:E33 B36:I37 B35:E37 B40:I43 B39:E43 B46:I46 B45:E46 B48:E50 B53:I55 B52:E55 F107:I107 B92:E92 B185:E185 F124:I124 B108:E108 I185 B144:E144 F152:I152 B149:E149 F165:I172 I173 B11:I14 B17:H17 B19:I21 B26:H26 B28:H28 B31:H31 B33:I34 B38:H38 B44:H44 B47:H47 B49:I51 B56:H56 B66:H66 B74:H74 B81:H81 B176:H176 B84:H84 B87:H87 F126:I136 I125">
    <cfRule type="cellIs" dxfId="112" priority="363" operator="equal">
      <formula>0</formula>
    </cfRule>
  </conditionalFormatting>
  <conditionalFormatting sqref="F68:I73">
    <cfRule type="cellIs" dxfId="111" priority="346" operator="equal">
      <formula>0</formula>
    </cfRule>
  </conditionalFormatting>
  <conditionalFormatting sqref="F58:I61 F63:I65 I62">
    <cfRule type="cellIs" dxfId="110" priority="324" operator="equal">
      <formula>0</formula>
    </cfRule>
  </conditionalFormatting>
  <conditionalFormatting sqref="F76:I76 F78:I80 I77">
    <cfRule type="cellIs" dxfId="109" priority="322" operator="equal">
      <formula>0</formula>
    </cfRule>
  </conditionalFormatting>
  <conditionalFormatting sqref="F83:I83">
    <cfRule type="cellIs" dxfId="108" priority="320" operator="equal">
      <formula>0</formula>
    </cfRule>
  </conditionalFormatting>
  <conditionalFormatting sqref="I176 F178:I184">
    <cfRule type="cellIs" dxfId="107" priority="318" operator="equal">
      <formula>0</formula>
    </cfRule>
  </conditionalFormatting>
  <conditionalFormatting sqref="F86:I86">
    <cfRule type="cellIs" dxfId="106" priority="316" operator="equal">
      <formula>0</formula>
    </cfRule>
  </conditionalFormatting>
  <conditionalFormatting sqref="F89:I91">
    <cfRule type="cellIs" dxfId="105" priority="314" operator="equal">
      <formula>0</formula>
    </cfRule>
  </conditionalFormatting>
  <conditionalFormatting sqref="F93:I106">
    <cfRule type="cellIs" dxfId="104" priority="312" operator="equal">
      <formula>0</formula>
    </cfRule>
  </conditionalFormatting>
  <conditionalFormatting sqref="F109:I118 F121:I123">
    <cfRule type="cellIs" dxfId="103" priority="310" operator="equal">
      <formula>0</formula>
    </cfRule>
  </conditionalFormatting>
  <conditionalFormatting sqref="D137:E137 F187:I195 I137">
    <cfRule type="cellIs" dxfId="102" priority="301" operator="equal">
      <formula>0</formula>
    </cfRule>
  </conditionalFormatting>
  <conditionalFormatting sqref="B137:C137">
    <cfRule type="cellIs" dxfId="101" priority="300" operator="equal">
      <formula>0</formula>
    </cfRule>
  </conditionalFormatting>
  <conditionalFormatting sqref="F139:I139">
    <cfRule type="cellIs" dxfId="100" priority="299" operator="equal">
      <formula>0</formula>
    </cfRule>
  </conditionalFormatting>
  <conditionalFormatting sqref="F142:I143">
    <cfRule type="cellIs" dxfId="99" priority="296" operator="equal">
      <formula>0</formula>
    </cfRule>
  </conditionalFormatting>
  <conditionalFormatting sqref="F146:I148">
    <cfRule type="cellIs" dxfId="98" priority="293" operator="equal">
      <formula>0</formula>
    </cfRule>
  </conditionalFormatting>
  <conditionalFormatting sqref="F151:I151">
    <cfRule type="cellIs" dxfId="97" priority="290" operator="equal">
      <formula>0</formula>
    </cfRule>
  </conditionalFormatting>
  <conditionalFormatting sqref="F154:I163">
    <cfRule type="cellIs" dxfId="96" priority="287" operator="equal">
      <formula>0</formula>
    </cfRule>
  </conditionalFormatting>
  <conditionalFormatting sqref="I153">
    <cfRule type="cellIs" dxfId="95" priority="259" operator="equal">
      <formula>0</formula>
    </cfRule>
  </conditionalFormatting>
  <conditionalFormatting sqref="I14">
    <cfRule type="cellIs" dxfId="94" priority="283" operator="equal">
      <formula>0</formula>
    </cfRule>
  </conditionalFormatting>
  <conditionalFormatting sqref="I17">
    <cfRule type="cellIs" dxfId="93" priority="282" operator="equal">
      <formula>0</formula>
    </cfRule>
  </conditionalFormatting>
  <conditionalFormatting sqref="I21">
    <cfRule type="cellIs" dxfId="92" priority="281" operator="equal">
      <formula>0</formula>
    </cfRule>
  </conditionalFormatting>
  <conditionalFormatting sqref="I26">
    <cfRule type="cellIs" dxfId="91" priority="280" operator="equal">
      <formula>0</formula>
    </cfRule>
  </conditionalFormatting>
  <conditionalFormatting sqref="I28">
    <cfRule type="cellIs" dxfId="90" priority="279" operator="equal">
      <formula>0</formula>
    </cfRule>
  </conditionalFormatting>
  <conditionalFormatting sqref="I31">
    <cfRule type="cellIs" dxfId="89" priority="278" operator="equal">
      <formula>0</formula>
    </cfRule>
  </conditionalFormatting>
  <conditionalFormatting sqref="I34">
    <cfRule type="cellIs" dxfId="88" priority="277" operator="equal">
      <formula>0</formula>
    </cfRule>
  </conditionalFormatting>
  <conditionalFormatting sqref="I38">
    <cfRule type="cellIs" dxfId="87" priority="276" operator="equal">
      <formula>0</formula>
    </cfRule>
  </conditionalFormatting>
  <conditionalFormatting sqref="I44">
    <cfRule type="cellIs" dxfId="86" priority="275" operator="equal">
      <formula>0</formula>
    </cfRule>
  </conditionalFormatting>
  <conditionalFormatting sqref="I47">
    <cfRule type="cellIs" dxfId="85" priority="274" operator="equal">
      <formula>0</formula>
    </cfRule>
  </conditionalFormatting>
  <conditionalFormatting sqref="I51">
    <cfRule type="cellIs" dxfId="84" priority="273" operator="equal">
      <formula>0</formula>
    </cfRule>
  </conditionalFormatting>
  <conditionalFormatting sqref="I56">
    <cfRule type="cellIs" dxfId="83" priority="272" operator="equal">
      <formula>0</formula>
    </cfRule>
  </conditionalFormatting>
  <conditionalFormatting sqref="I66">
    <cfRule type="cellIs" dxfId="82" priority="271" operator="equal">
      <formula>0</formula>
    </cfRule>
  </conditionalFormatting>
  <conditionalFormatting sqref="I74">
    <cfRule type="cellIs" dxfId="81" priority="270" operator="equal">
      <formula>0</formula>
    </cfRule>
  </conditionalFormatting>
  <conditionalFormatting sqref="I81">
    <cfRule type="cellIs" dxfId="80" priority="269" operator="equal">
      <formula>0</formula>
    </cfRule>
  </conditionalFormatting>
  <conditionalFormatting sqref="I84">
    <cfRule type="cellIs" dxfId="79" priority="268" operator="equal">
      <formula>0</formula>
    </cfRule>
  </conditionalFormatting>
  <conditionalFormatting sqref="I87">
    <cfRule type="cellIs" dxfId="78" priority="267" operator="equal">
      <formula>0</formula>
    </cfRule>
  </conditionalFormatting>
  <conditionalFormatting sqref="I92">
    <cfRule type="cellIs" dxfId="77" priority="266" operator="equal">
      <formula>0</formula>
    </cfRule>
  </conditionalFormatting>
  <conditionalFormatting sqref="I108">
    <cfRule type="cellIs" dxfId="76" priority="265" operator="equal">
      <formula>0</formula>
    </cfRule>
  </conditionalFormatting>
  <conditionalFormatting sqref="I185">
    <cfRule type="cellIs" dxfId="75" priority="264" operator="equal">
      <formula>0</formula>
    </cfRule>
  </conditionalFormatting>
  <conditionalFormatting sqref="I137">
    <cfRule type="cellIs" dxfId="74" priority="263" operator="equal">
      <formula>0</formula>
    </cfRule>
  </conditionalFormatting>
  <conditionalFormatting sqref="I140">
    <cfRule type="cellIs" dxfId="73" priority="262" operator="equal">
      <formula>0</formula>
    </cfRule>
  </conditionalFormatting>
  <conditionalFormatting sqref="I144">
    <cfRule type="cellIs" dxfId="72" priority="261" operator="equal">
      <formula>0</formula>
    </cfRule>
  </conditionalFormatting>
  <conditionalFormatting sqref="I149">
    <cfRule type="cellIs" dxfId="71" priority="260" operator="equal">
      <formula>0</formula>
    </cfRule>
  </conditionalFormatting>
  <conditionalFormatting sqref="G177:H177">
    <cfRule type="cellIs" dxfId="70" priority="243" operator="equal">
      <formula>0</formula>
    </cfRule>
  </conditionalFormatting>
  <conditionalFormatting sqref="I164">
    <cfRule type="cellIs" dxfId="69" priority="229" operator="equal">
      <formula>0</formula>
    </cfRule>
  </conditionalFormatting>
  <conditionalFormatting sqref="F22:H22">
    <cfRule type="cellIs" dxfId="68" priority="225" operator="equal">
      <formula>0</formula>
    </cfRule>
  </conditionalFormatting>
  <conditionalFormatting sqref="F27:H27">
    <cfRule type="cellIs" dxfId="67" priority="224" operator="equal">
      <formula>0</formula>
    </cfRule>
  </conditionalFormatting>
  <conditionalFormatting sqref="F29:H29">
    <cfRule type="cellIs" dxfId="66" priority="223" operator="equal">
      <formula>0</formula>
    </cfRule>
  </conditionalFormatting>
  <conditionalFormatting sqref="F32:H32">
    <cfRule type="cellIs" dxfId="65" priority="222" operator="equal">
      <formula>0</formula>
    </cfRule>
  </conditionalFormatting>
  <conditionalFormatting sqref="F35:H35">
    <cfRule type="cellIs" dxfId="64" priority="221" operator="equal">
      <formula>0</formula>
    </cfRule>
  </conditionalFormatting>
  <conditionalFormatting sqref="F39:H39">
    <cfRule type="cellIs" dxfId="63" priority="220" operator="equal">
      <formula>0</formula>
    </cfRule>
  </conditionalFormatting>
  <conditionalFormatting sqref="F45:H45">
    <cfRule type="cellIs" dxfId="62" priority="219" operator="equal">
      <formula>0</formula>
    </cfRule>
  </conditionalFormatting>
  <conditionalFormatting sqref="F48:H48">
    <cfRule type="cellIs" dxfId="61" priority="218" operator="equal">
      <formula>0</formula>
    </cfRule>
  </conditionalFormatting>
  <conditionalFormatting sqref="F52:H52">
    <cfRule type="cellIs" dxfId="60" priority="217" operator="equal">
      <formula>0</formula>
    </cfRule>
  </conditionalFormatting>
  <conditionalFormatting sqref="F57:H57">
    <cfRule type="cellIs" dxfId="59" priority="216" operator="equal">
      <formula>0</formula>
    </cfRule>
  </conditionalFormatting>
  <conditionalFormatting sqref="F67:H67">
    <cfRule type="cellIs" dxfId="58" priority="215" operator="equal">
      <formula>0</formula>
    </cfRule>
  </conditionalFormatting>
  <conditionalFormatting sqref="F75:H75">
    <cfRule type="cellIs" dxfId="57" priority="214" operator="equal">
      <formula>0</formula>
    </cfRule>
  </conditionalFormatting>
  <conditionalFormatting sqref="F82:H82">
    <cfRule type="cellIs" dxfId="56" priority="213" operator="equal">
      <formula>0</formula>
    </cfRule>
  </conditionalFormatting>
  <conditionalFormatting sqref="F177:G177">
    <cfRule type="cellIs" dxfId="55" priority="211" operator="equal">
      <formula>0</formula>
    </cfRule>
  </conditionalFormatting>
  <conditionalFormatting sqref="F85:H85">
    <cfRule type="cellIs" dxfId="54" priority="210" operator="equal">
      <formula>0</formula>
    </cfRule>
  </conditionalFormatting>
  <conditionalFormatting sqref="F88:H88">
    <cfRule type="cellIs" dxfId="53" priority="209" operator="equal">
      <formula>0</formula>
    </cfRule>
  </conditionalFormatting>
  <conditionalFormatting sqref="B153:E153">
    <cfRule type="cellIs" dxfId="52" priority="200" operator="equal">
      <formula>0</formula>
    </cfRule>
  </conditionalFormatting>
  <conditionalFormatting sqref="F150:H150">
    <cfRule type="cellIs" dxfId="51" priority="199" operator="equal">
      <formula>0</formula>
    </cfRule>
  </conditionalFormatting>
  <conditionalFormatting sqref="F145:H145">
    <cfRule type="cellIs" dxfId="50" priority="198" operator="equal">
      <formula>0</formula>
    </cfRule>
  </conditionalFormatting>
  <conditionalFormatting sqref="F18:H18">
    <cfRule type="cellIs" dxfId="49" priority="194" operator="equal">
      <formula>0</formula>
    </cfRule>
  </conditionalFormatting>
  <conditionalFormatting sqref="F15:H15">
    <cfRule type="cellIs" dxfId="48" priority="195" operator="equal">
      <formula>0</formula>
    </cfRule>
  </conditionalFormatting>
  <conditionalFormatting sqref="B57:E61 B63:E65">
    <cfRule type="cellIs" dxfId="47" priority="193" operator="equal">
      <formula>0</formula>
    </cfRule>
  </conditionalFormatting>
  <conditionalFormatting sqref="B67:E73">
    <cfRule type="cellIs" dxfId="46" priority="192" operator="equal">
      <formula>0</formula>
    </cfRule>
  </conditionalFormatting>
  <conditionalFormatting sqref="B75:E76 B78:E80">
    <cfRule type="cellIs" dxfId="45" priority="191" operator="equal">
      <formula>0</formula>
    </cfRule>
  </conditionalFormatting>
  <conditionalFormatting sqref="B82:E83">
    <cfRule type="cellIs" dxfId="44" priority="190" operator="equal">
      <formula>0</formula>
    </cfRule>
  </conditionalFormatting>
  <conditionalFormatting sqref="B177:E184">
    <cfRule type="cellIs" dxfId="43" priority="189" operator="equal">
      <formula>0</formula>
    </cfRule>
  </conditionalFormatting>
  <conditionalFormatting sqref="B85:E86">
    <cfRule type="cellIs" dxfId="42" priority="188" operator="equal">
      <formula>0</formula>
    </cfRule>
  </conditionalFormatting>
  <conditionalFormatting sqref="B88:E91">
    <cfRule type="cellIs" dxfId="41" priority="187" operator="equal">
      <formula>0</formula>
    </cfRule>
  </conditionalFormatting>
  <conditionalFormatting sqref="B93:E106">
    <cfRule type="cellIs" dxfId="40" priority="186" operator="equal">
      <formula>0</formula>
    </cfRule>
  </conditionalFormatting>
  <conditionalFormatting sqref="F92:H92">
    <cfRule type="cellIs" dxfId="39" priority="185" operator="equal">
      <formula>0</formula>
    </cfRule>
  </conditionalFormatting>
  <conditionalFormatting sqref="B109:E123">
    <cfRule type="cellIs" dxfId="38" priority="184" operator="equal">
      <formula>0</formula>
    </cfRule>
  </conditionalFormatting>
  <conditionalFormatting sqref="F108:H108">
    <cfRule type="cellIs" dxfId="37" priority="183" operator="equal">
      <formula>0</formula>
    </cfRule>
  </conditionalFormatting>
  <conditionalFormatting sqref="B186:E195">
    <cfRule type="cellIs" dxfId="36" priority="182" operator="equal">
      <formula>0</formula>
    </cfRule>
  </conditionalFormatting>
  <conditionalFormatting sqref="F185:H185">
    <cfRule type="cellIs" dxfId="35" priority="180" operator="equal">
      <formula>0</formula>
    </cfRule>
  </conditionalFormatting>
  <conditionalFormatting sqref="B138:E139">
    <cfRule type="cellIs" dxfId="34" priority="179" operator="equal">
      <formula>0</formula>
    </cfRule>
  </conditionalFormatting>
  <conditionalFormatting sqref="F140:H140">
    <cfRule type="cellIs" dxfId="33" priority="175" operator="equal">
      <formula>0</formula>
    </cfRule>
  </conditionalFormatting>
  <conditionalFormatting sqref="F137:H137">
    <cfRule type="cellIs" dxfId="32" priority="177" operator="equal">
      <formula>0</formula>
    </cfRule>
  </conditionalFormatting>
  <conditionalFormatting sqref="B141:E143">
    <cfRule type="cellIs" dxfId="31" priority="176" operator="equal">
      <formula>0</formula>
    </cfRule>
  </conditionalFormatting>
  <conditionalFormatting sqref="B145:E148">
    <cfRule type="cellIs" dxfId="30" priority="174" operator="equal">
      <formula>0</formula>
    </cfRule>
  </conditionalFormatting>
  <conditionalFormatting sqref="F144:H144">
    <cfRule type="cellIs" dxfId="29" priority="173" operator="equal">
      <formula>0</formula>
    </cfRule>
  </conditionalFormatting>
  <conditionalFormatting sqref="B150:E151">
    <cfRule type="cellIs" dxfId="28" priority="172" operator="equal">
      <formula>0</formula>
    </cfRule>
  </conditionalFormatting>
  <conditionalFormatting sqref="F149:H149">
    <cfRule type="cellIs" dxfId="27" priority="171" operator="equal">
      <formula>0</formula>
    </cfRule>
  </conditionalFormatting>
  <conditionalFormatting sqref="F153:H153">
    <cfRule type="cellIs" dxfId="26" priority="170" operator="equal">
      <formula>0</formula>
    </cfRule>
  </conditionalFormatting>
  <conditionalFormatting sqref="B154:E163">
    <cfRule type="cellIs" dxfId="25" priority="169" operator="equal">
      <formula>0</formula>
    </cfRule>
  </conditionalFormatting>
  <conditionalFormatting sqref="B165:E172">
    <cfRule type="cellIs" dxfId="24" priority="168" operator="equal">
      <formula>0</formula>
    </cfRule>
  </conditionalFormatting>
  <conditionalFormatting sqref="F164:H164">
    <cfRule type="cellIs" dxfId="23" priority="167" operator="equal">
      <formula>0</formula>
    </cfRule>
  </conditionalFormatting>
  <conditionalFormatting sqref="F176:G195 F121:G124 F9:G61 F78:G118 F126:G164 F63:G76">
    <cfRule type="colorScale" priority="1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76:H195 H121:H124 H9:H61 H78:H118 H126:H164 H63:H76">
    <cfRule type="colorScale" priority="1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76:B195 B137:B164 B9:B61 B63:B76 B78:B124">
    <cfRule type="colorScale" priority="1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76:C195 C137:C164 C9:C61 C63:C76 C78:C124">
    <cfRule type="colorScale" priority="1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76:D195 D137:D164 D9:D61 D63:D76 D78:D124">
    <cfRule type="colorScale" priority="1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76:E195 E137:E164 E9:E61 E63:E76 E78:E124">
    <cfRule type="colorScale" priority="1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74:E175">
    <cfRule type="cellIs" dxfId="22" priority="157" operator="equal">
      <formula>0</formula>
    </cfRule>
  </conditionalFormatting>
  <conditionalFormatting sqref="B174:B175">
    <cfRule type="cellIs" dxfId="21" priority="156" operator="equal">
      <formula>0</formula>
    </cfRule>
  </conditionalFormatting>
  <conditionalFormatting sqref="B173:E173">
    <cfRule type="cellIs" dxfId="20" priority="155" operator="equal">
      <formula>0</formula>
    </cfRule>
  </conditionalFormatting>
  <conditionalFormatting sqref="B173">
    <cfRule type="colorScale" priority="1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73">
    <cfRule type="colorScale" priority="1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73">
    <cfRule type="colorScale" priority="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73">
    <cfRule type="colorScale" priority="1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3 H173">
    <cfRule type="cellIs" dxfId="19" priority="150" operator="equal">
      <formula>0</formula>
    </cfRule>
  </conditionalFormatting>
  <conditionalFormatting sqref="F173">
    <cfRule type="colorScale" priority="1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73">
    <cfRule type="colorScale" priority="1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76:B195 B74:B76 B137:B173 B78:B124">
    <cfRule type="colorScale" priority="1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76:C195 C74:C76 C137:C173 C78:C124">
    <cfRule type="colorScale" priority="1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76:D195 D74:D76 D137:D173 D78:D124">
    <cfRule type="colorScale" priority="1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76:E195 E74:E76 E137:E173 E78:E124">
    <cfRule type="colorScale" priority="1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74:G76 F173 F121:G124 F176:G195 F78:G118 F126:G172">
    <cfRule type="colorScale" priority="1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76:H195 H121:H124 H74:H76 H78:H118 H126:H173">
    <cfRule type="colorScale" priority="1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9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4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1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1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4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8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4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1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1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4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4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4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6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66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1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4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8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92">
    <cfRule type="cellIs" dxfId="18" priority="114" operator="equal">
      <formula>0</formula>
    </cfRule>
  </conditionalFormatting>
  <conditionalFormatting sqref="G92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08">
    <cfRule type="cellIs" dxfId="17" priority="112" operator="equal">
      <formula>0</formula>
    </cfRule>
  </conditionalFormatting>
  <conditionalFormatting sqref="G108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85">
    <cfRule type="cellIs" dxfId="16" priority="110" operator="equal">
      <formula>0</formula>
    </cfRule>
  </conditionalFormatting>
  <conditionalFormatting sqref="G18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7">
    <cfRule type="cellIs" dxfId="15" priority="108" operator="equal">
      <formula>0</formula>
    </cfRule>
  </conditionalFormatting>
  <conditionalFormatting sqref="G137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40">
    <cfRule type="cellIs" dxfId="14" priority="106" operator="equal">
      <formula>0</formula>
    </cfRule>
  </conditionalFormatting>
  <conditionalFormatting sqref="G140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44">
    <cfRule type="cellIs" dxfId="13" priority="104" operator="equal">
      <formula>0</formula>
    </cfRule>
  </conditionalFormatting>
  <conditionalFormatting sqref="G144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49">
    <cfRule type="cellIs" dxfId="12" priority="102" operator="equal">
      <formula>0</formula>
    </cfRule>
  </conditionalFormatting>
  <conditionalFormatting sqref="G149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53">
    <cfRule type="cellIs" dxfId="11" priority="100" operator="equal">
      <formula>0</formula>
    </cfRule>
  </conditionalFormatting>
  <conditionalFormatting sqref="G153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64">
    <cfRule type="cellIs" dxfId="10" priority="98" operator="equal">
      <formula>0</formula>
    </cfRule>
  </conditionalFormatting>
  <conditionalFormatting sqref="G164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3">
    <cfRule type="cellIs" dxfId="9" priority="96" operator="equal">
      <formula>0</formula>
    </cfRule>
  </conditionalFormatting>
  <conditionalFormatting sqref="G173">
    <cfRule type="colorScale" priority="9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73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6:G195 G121:G124 G9:G61 G78:G118 G126:G173 G63:G76">
    <cfRule type="colorScale" priority="9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19:I120">
    <cfRule type="cellIs" dxfId="8" priority="92" operator="equal">
      <formula>0</formula>
    </cfRule>
  </conditionalFormatting>
  <conditionalFormatting sqref="F119:G120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19:H120">
    <cfRule type="colorScale" priority="8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19:G120">
    <cfRule type="colorScale" priority="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19:H120">
    <cfRule type="colorScale" priority="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19:G120">
    <cfRule type="colorScale" priority="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7:E77">
    <cfRule type="cellIs" dxfId="7" priority="77" operator="equal">
      <formula>0</formula>
    </cfRule>
  </conditionalFormatting>
  <conditionalFormatting sqref="B77">
    <cfRule type="colorScale" priority="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77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7">
    <cfRule type="colorScale" priority="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77">
    <cfRule type="colorScale" priority="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7">
    <cfRule type="colorScale" priority="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77">
    <cfRule type="colorScale" priority="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7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77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77:H77">
    <cfRule type="cellIs" dxfId="6" priority="68" operator="equal">
      <formula>0</formula>
    </cfRule>
  </conditionalFormatting>
  <conditionalFormatting sqref="F77:G77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7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77:G77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7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77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26:E136">
    <cfRule type="cellIs" dxfId="5" priority="61" operator="equal">
      <formula>0</formula>
    </cfRule>
  </conditionalFormatting>
  <conditionalFormatting sqref="B126:B136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6:C136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26:D136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26:E136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26:B136">
    <cfRule type="colorScale" priority="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6:C136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26:D136">
    <cfRule type="colorScale" priority="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26:E136">
    <cfRule type="colorScale" priority="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25:E125">
    <cfRule type="cellIs" dxfId="4" priority="52" operator="equal">
      <formula>0</formula>
    </cfRule>
  </conditionalFormatting>
  <conditionalFormatting sqref="B125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5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25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25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25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25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25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25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25:H125">
    <cfRule type="cellIs" dxfId="3" priority="43" operator="equal">
      <formula>0</formula>
    </cfRule>
  </conditionalFormatting>
  <conditionalFormatting sqref="F125:G125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25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25:G125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25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25">
    <cfRule type="cellIs" dxfId="2" priority="38" operator="equal">
      <formula>0</formula>
    </cfRule>
  </conditionalFormatting>
  <conditionalFormatting sqref="G125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25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56:F61 F63:F185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56:G61 G63:G185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56:H61 H63:H185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56:B61 B63:B185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6:C61 C63:C185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6:D61 D63:D185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56:E61 E63:E185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62:H62">
    <cfRule type="cellIs" dxfId="1" priority="24" operator="equal">
      <formula>0</formula>
    </cfRule>
  </conditionalFormatting>
  <conditionalFormatting sqref="F62:G62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62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6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62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62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62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62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62:E62">
    <cfRule type="cellIs" dxfId="0" priority="16" operator="equal">
      <formula>0</formula>
    </cfRule>
  </conditionalFormatting>
  <conditionalFormatting sqref="B6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6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62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62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62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62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62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62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56:B185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56:C18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6:D185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56:E18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56:F18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56:G185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56:H18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3"/>
  <dimension ref="A1:E45"/>
  <sheetViews>
    <sheetView topLeftCell="A13" workbookViewId="0">
      <selection activeCell="E45" sqref="E45"/>
    </sheetView>
  </sheetViews>
  <sheetFormatPr defaultRowHeight="15" x14ac:dyDescent="0.25"/>
  <sheetData>
    <row r="1" spans="1:5" x14ac:dyDescent="0.25">
      <c r="B1" t="s">
        <v>125</v>
      </c>
      <c r="C1" t="s">
        <v>13</v>
      </c>
      <c r="D1" t="s">
        <v>127</v>
      </c>
    </row>
    <row r="2" spans="1:5" x14ac:dyDescent="0.25">
      <c r="A2" t="s">
        <v>124</v>
      </c>
      <c r="B2">
        <v>2</v>
      </c>
      <c r="C2">
        <v>4</v>
      </c>
      <c r="D2">
        <f>B2*1/2</f>
        <v>1</v>
      </c>
    </row>
    <row r="3" spans="1:5" x14ac:dyDescent="0.25">
      <c r="A3" t="s">
        <v>126</v>
      </c>
      <c r="B3">
        <v>1</v>
      </c>
      <c r="C3">
        <v>3</v>
      </c>
      <c r="D3">
        <f>B3*(2/3+2/6*2/3)</f>
        <v>0.88888888888888884</v>
      </c>
    </row>
    <row r="9" spans="1:5" x14ac:dyDescent="0.25">
      <c r="C9">
        <v>1</v>
      </c>
      <c r="D9">
        <v>1</v>
      </c>
      <c r="E9">
        <f>IF(C9&gt;D9,C9,D9)</f>
        <v>1</v>
      </c>
    </row>
    <row r="10" spans="1:5" x14ac:dyDescent="0.25">
      <c r="C10">
        <v>1</v>
      </c>
      <c r="D10">
        <v>2</v>
      </c>
      <c r="E10">
        <f t="shared" ref="E10:E44" si="0">IF(C10&gt;D10,C10,D10)</f>
        <v>2</v>
      </c>
    </row>
    <row r="11" spans="1:5" x14ac:dyDescent="0.25">
      <c r="C11">
        <v>1</v>
      </c>
      <c r="D11">
        <v>3</v>
      </c>
      <c r="E11">
        <f t="shared" si="0"/>
        <v>3</v>
      </c>
    </row>
    <row r="12" spans="1:5" x14ac:dyDescent="0.25">
      <c r="C12">
        <v>1</v>
      </c>
      <c r="D12">
        <v>4</v>
      </c>
      <c r="E12">
        <f t="shared" si="0"/>
        <v>4</v>
      </c>
    </row>
    <row r="13" spans="1:5" x14ac:dyDescent="0.25">
      <c r="C13">
        <v>1</v>
      </c>
      <c r="D13">
        <v>5</v>
      </c>
      <c r="E13">
        <f t="shared" si="0"/>
        <v>5</v>
      </c>
    </row>
    <row r="14" spans="1:5" x14ac:dyDescent="0.25">
      <c r="C14">
        <v>1</v>
      </c>
      <c r="D14">
        <v>6</v>
      </c>
      <c r="E14">
        <f t="shared" si="0"/>
        <v>6</v>
      </c>
    </row>
    <row r="15" spans="1:5" x14ac:dyDescent="0.25">
      <c r="C15">
        <v>2</v>
      </c>
      <c r="D15">
        <v>1</v>
      </c>
      <c r="E15">
        <f t="shared" si="0"/>
        <v>2</v>
      </c>
    </row>
    <row r="16" spans="1:5" x14ac:dyDescent="0.25">
      <c r="C16">
        <v>2</v>
      </c>
      <c r="D16">
        <v>2</v>
      </c>
      <c r="E16">
        <f t="shared" si="0"/>
        <v>2</v>
      </c>
    </row>
    <row r="17" spans="3:5" x14ac:dyDescent="0.25">
      <c r="C17">
        <v>2</v>
      </c>
      <c r="D17">
        <v>3</v>
      </c>
      <c r="E17">
        <f t="shared" si="0"/>
        <v>3</v>
      </c>
    </row>
    <row r="18" spans="3:5" x14ac:dyDescent="0.25">
      <c r="C18">
        <v>2</v>
      </c>
      <c r="D18">
        <v>4</v>
      </c>
      <c r="E18">
        <f t="shared" si="0"/>
        <v>4</v>
      </c>
    </row>
    <row r="19" spans="3:5" x14ac:dyDescent="0.25">
      <c r="C19">
        <v>2</v>
      </c>
      <c r="D19">
        <v>5</v>
      </c>
      <c r="E19">
        <f t="shared" si="0"/>
        <v>5</v>
      </c>
    </row>
    <row r="20" spans="3:5" x14ac:dyDescent="0.25">
      <c r="C20">
        <v>2</v>
      </c>
      <c r="D20">
        <v>6</v>
      </c>
      <c r="E20">
        <f t="shared" si="0"/>
        <v>6</v>
      </c>
    </row>
    <row r="21" spans="3:5" x14ac:dyDescent="0.25">
      <c r="C21">
        <v>3</v>
      </c>
      <c r="D21">
        <v>1</v>
      </c>
      <c r="E21">
        <f t="shared" si="0"/>
        <v>3</v>
      </c>
    </row>
    <row r="22" spans="3:5" x14ac:dyDescent="0.25">
      <c r="C22">
        <v>3</v>
      </c>
      <c r="D22">
        <v>2</v>
      </c>
      <c r="E22">
        <f t="shared" si="0"/>
        <v>3</v>
      </c>
    </row>
    <row r="23" spans="3:5" x14ac:dyDescent="0.25">
      <c r="C23">
        <v>3</v>
      </c>
      <c r="D23">
        <v>3</v>
      </c>
      <c r="E23">
        <f t="shared" si="0"/>
        <v>3</v>
      </c>
    </row>
    <row r="24" spans="3:5" x14ac:dyDescent="0.25">
      <c r="C24">
        <v>3</v>
      </c>
      <c r="D24">
        <v>4</v>
      </c>
      <c r="E24">
        <f t="shared" si="0"/>
        <v>4</v>
      </c>
    </row>
    <row r="25" spans="3:5" x14ac:dyDescent="0.25">
      <c r="C25">
        <v>3</v>
      </c>
      <c r="D25">
        <v>5</v>
      </c>
      <c r="E25">
        <f t="shared" si="0"/>
        <v>5</v>
      </c>
    </row>
    <row r="26" spans="3:5" x14ac:dyDescent="0.25">
      <c r="C26">
        <v>3</v>
      </c>
      <c r="D26">
        <v>6</v>
      </c>
      <c r="E26">
        <f t="shared" si="0"/>
        <v>6</v>
      </c>
    </row>
    <row r="27" spans="3:5" x14ac:dyDescent="0.25">
      <c r="C27">
        <v>4</v>
      </c>
      <c r="D27">
        <v>1</v>
      </c>
      <c r="E27">
        <f t="shared" si="0"/>
        <v>4</v>
      </c>
    </row>
    <row r="28" spans="3:5" x14ac:dyDescent="0.25">
      <c r="C28">
        <v>4</v>
      </c>
      <c r="D28">
        <v>2</v>
      </c>
      <c r="E28">
        <f t="shared" si="0"/>
        <v>4</v>
      </c>
    </row>
    <row r="29" spans="3:5" x14ac:dyDescent="0.25">
      <c r="C29">
        <v>4</v>
      </c>
      <c r="D29">
        <v>3</v>
      </c>
      <c r="E29">
        <f t="shared" si="0"/>
        <v>4</v>
      </c>
    </row>
    <row r="30" spans="3:5" x14ac:dyDescent="0.25">
      <c r="C30">
        <v>4</v>
      </c>
      <c r="D30">
        <v>4</v>
      </c>
      <c r="E30">
        <f t="shared" si="0"/>
        <v>4</v>
      </c>
    </row>
    <row r="31" spans="3:5" x14ac:dyDescent="0.25">
      <c r="C31">
        <v>4</v>
      </c>
      <c r="D31">
        <v>5</v>
      </c>
      <c r="E31">
        <f t="shared" si="0"/>
        <v>5</v>
      </c>
    </row>
    <row r="32" spans="3:5" x14ac:dyDescent="0.25">
      <c r="C32">
        <v>4</v>
      </c>
      <c r="D32">
        <v>6</v>
      </c>
      <c r="E32">
        <f t="shared" si="0"/>
        <v>6</v>
      </c>
    </row>
    <row r="33" spans="3:5" x14ac:dyDescent="0.25">
      <c r="C33">
        <v>5</v>
      </c>
      <c r="D33">
        <v>1</v>
      </c>
      <c r="E33">
        <f t="shared" si="0"/>
        <v>5</v>
      </c>
    </row>
    <row r="34" spans="3:5" x14ac:dyDescent="0.25">
      <c r="C34">
        <v>5</v>
      </c>
      <c r="D34">
        <v>2</v>
      </c>
      <c r="E34">
        <f t="shared" si="0"/>
        <v>5</v>
      </c>
    </row>
    <row r="35" spans="3:5" x14ac:dyDescent="0.25">
      <c r="C35">
        <v>5</v>
      </c>
      <c r="D35">
        <v>3</v>
      </c>
      <c r="E35">
        <f t="shared" si="0"/>
        <v>5</v>
      </c>
    </row>
    <row r="36" spans="3:5" x14ac:dyDescent="0.25">
      <c r="C36">
        <v>5</v>
      </c>
      <c r="D36">
        <v>4</v>
      </c>
      <c r="E36">
        <f t="shared" si="0"/>
        <v>5</v>
      </c>
    </row>
    <row r="37" spans="3:5" x14ac:dyDescent="0.25">
      <c r="C37">
        <v>5</v>
      </c>
      <c r="D37">
        <v>5</v>
      </c>
      <c r="E37">
        <f t="shared" si="0"/>
        <v>5</v>
      </c>
    </row>
    <row r="38" spans="3:5" x14ac:dyDescent="0.25">
      <c r="C38">
        <v>5</v>
      </c>
      <c r="D38">
        <v>6</v>
      </c>
      <c r="E38">
        <f t="shared" si="0"/>
        <v>6</v>
      </c>
    </row>
    <row r="39" spans="3:5" x14ac:dyDescent="0.25">
      <c r="C39">
        <v>6</v>
      </c>
      <c r="D39">
        <v>1</v>
      </c>
      <c r="E39">
        <f t="shared" si="0"/>
        <v>6</v>
      </c>
    </row>
    <row r="40" spans="3:5" x14ac:dyDescent="0.25">
      <c r="C40">
        <v>6</v>
      </c>
      <c r="D40">
        <v>2</v>
      </c>
      <c r="E40">
        <f t="shared" si="0"/>
        <v>6</v>
      </c>
    </row>
    <row r="41" spans="3:5" x14ac:dyDescent="0.25">
      <c r="C41">
        <v>6</v>
      </c>
      <c r="D41">
        <v>3</v>
      </c>
      <c r="E41">
        <f t="shared" si="0"/>
        <v>6</v>
      </c>
    </row>
    <row r="42" spans="3:5" x14ac:dyDescent="0.25">
      <c r="C42">
        <v>6</v>
      </c>
      <c r="D42">
        <v>4</v>
      </c>
      <c r="E42">
        <f t="shared" si="0"/>
        <v>6</v>
      </c>
    </row>
    <row r="43" spans="3:5" x14ac:dyDescent="0.25">
      <c r="C43">
        <v>6</v>
      </c>
      <c r="D43">
        <v>5</v>
      </c>
      <c r="E43">
        <f t="shared" si="0"/>
        <v>6</v>
      </c>
    </row>
    <row r="44" spans="3:5" x14ac:dyDescent="0.25">
      <c r="C44">
        <v>6</v>
      </c>
      <c r="D44">
        <v>6</v>
      </c>
      <c r="E44">
        <f t="shared" si="0"/>
        <v>6</v>
      </c>
    </row>
    <row r="45" spans="3:5" x14ac:dyDescent="0.25">
      <c r="E45">
        <f>AVERAGE(E9:E44)</f>
        <v>4.4722222222222223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4"/>
  <dimension ref="A2:O8"/>
  <sheetViews>
    <sheetView workbookViewId="0">
      <selection activeCell="O8" sqref="O8"/>
    </sheetView>
  </sheetViews>
  <sheetFormatPr defaultRowHeight="15" x14ac:dyDescent="0.25"/>
  <cols>
    <col min="2" max="2" width="16.42578125" customWidth="1"/>
  </cols>
  <sheetData>
    <row r="2" spans="1:15" x14ac:dyDescent="0.25">
      <c r="M2" t="s">
        <v>144</v>
      </c>
      <c r="N2" t="s">
        <v>162</v>
      </c>
      <c r="O2" t="s">
        <v>164</v>
      </c>
    </row>
    <row r="3" spans="1:15" ht="16.5" thickBot="1" x14ac:dyDescent="0.3">
      <c r="C3" s="20" t="s">
        <v>11</v>
      </c>
      <c r="D3" s="20" t="s">
        <v>12</v>
      </c>
      <c r="E3" s="20" t="s">
        <v>13</v>
      </c>
      <c r="F3" s="20" t="s">
        <v>14</v>
      </c>
      <c r="G3" s="20" t="s">
        <v>15</v>
      </c>
      <c r="H3" s="20" t="s">
        <v>16</v>
      </c>
      <c r="I3" s="20" t="s">
        <v>17</v>
      </c>
      <c r="J3" s="20" t="s">
        <v>18</v>
      </c>
      <c r="K3" s="20" t="s">
        <v>24</v>
      </c>
      <c r="L3" s="23" t="s">
        <v>29</v>
      </c>
    </row>
    <row r="4" spans="1:15" ht="16.5" thickTop="1" thickBot="1" x14ac:dyDescent="0.3">
      <c r="A4">
        <v>42</v>
      </c>
      <c r="B4" s="21" t="s">
        <v>161</v>
      </c>
      <c r="C4" s="21" t="s">
        <v>7</v>
      </c>
      <c r="D4" s="21" t="s">
        <v>2</v>
      </c>
      <c r="E4" s="21" t="s">
        <v>50</v>
      </c>
      <c r="F4" s="21">
        <v>5</v>
      </c>
      <c r="G4" s="21">
        <v>5</v>
      </c>
      <c r="H4" s="21">
        <v>3</v>
      </c>
      <c r="I4" s="21">
        <v>3</v>
      </c>
      <c r="J4" s="21">
        <v>7</v>
      </c>
      <c r="K4" s="21" t="s">
        <v>50</v>
      </c>
      <c r="L4" s="21"/>
      <c r="M4">
        <f>2/3*2/3*3*2/3*100/42</f>
        <v>2.1164021164021163</v>
      </c>
    </row>
    <row r="5" spans="1:15" ht="16.5" thickTop="1" thickBot="1" x14ac:dyDescent="0.3">
      <c r="A5">
        <v>10</v>
      </c>
      <c r="B5" s="21" t="s">
        <v>48</v>
      </c>
      <c r="C5" s="21" t="s">
        <v>49</v>
      </c>
      <c r="D5" s="21" t="s">
        <v>2</v>
      </c>
      <c r="E5" s="21" t="s">
        <v>50</v>
      </c>
      <c r="F5" s="21">
        <v>4</v>
      </c>
      <c r="G5" s="21">
        <v>4</v>
      </c>
      <c r="H5" s="21">
        <v>1</v>
      </c>
      <c r="I5" s="21">
        <v>3</v>
      </c>
      <c r="J5" s="21">
        <v>9</v>
      </c>
      <c r="K5" s="21" t="s">
        <v>103</v>
      </c>
      <c r="L5" s="21"/>
      <c r="M5">
        <f>2/3*1/3*1/2*10*4</f>
        <v>4.4444444444444446</v>
      </c>
    </row>
    <row r="6" spans="1:15" ht="15.75" thickTop="1" x14ac:dyDescent="0.25">
      <c r="B6" s="3" t="s">
        <v>157</v>
      </c>
      <c r="C6" s="3" t="s">
        <v>92</v>
      </c>
      <c r="D6" s="3" t="s">
        <v>32</v>
      </c>
      <c r="E6" s="3" t="s">
        <v>92</v>
      </c>
      <c r="F6" s="3">
        <v>6</v>
      </c>
      <c r="G6" s="3">
        <v>7</v>
      </c>
      <c r="H6" s="3">
        <v>11</v>
      </c>
      <c r="I6" s="3" t="s">
        <v>92</v>
      </c>
      <c r="J6" s="3">
        <v>7</v>
      </c>
      <c r="K6" s="3" t="s">
        <v>2</v>
      </c>
      <c r="N6">
        <f>2/3*1/3*4*1/2</f>
        <v>0.44444444444444442</v>
      </c>
    </row>
    <row r="7" spans="1:15" ht="15.75" thickBot="1" x14ac:dyDescent="0.3">
      <c r="A7">
        <v>4</v>
      </c>
      <c r="B7" s="21" t="s">
        <v>54</v>
      </c>
      <c r="C7" s="21" t="s">
        <v>7</v>
      </c>
      <c r="D7" s="21" t="s">
        <v>50</v>
      </c>
      <c r="E7" s="21" t="s">
        <v>50</v>
      </c>
      <c r="F7" s="21">
        <v>3</v>
      </c>
      <c r="G7" s="21">
        <v>3</v>
      </c>
      <c r="H7" s="21">
        <v>1</v>
      </c>
      <c r="I7" s="21">
        <v>1</v>
      </c>
      <c r="J7" s="21">
        <v>5</v>
      </c>
      <c r="K7" s="21" t="s">
        <v>32</v>
      </c>
      <c r="L7" s="21"/>
    </row>
    <row r="8" spans="1:15" ht="15.75" thickTop="1" x14ac:dyDescent="0.25">
      <c r="B8" s="22" t="s">
        <v>163</v>
      </c>
      <c r="F8" s="22">
        <v>4</v>
      </c>
      <c r="I8" s="22">
        <v>3</v>
      </c>
      <c r="L8">
        <v>1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2"/>
  <dimension ref="A1:S12"/>
  <sheetViews>
    <sheetView workbookViewId="0">
      <selection activeCell="O12" sqref="O12"/>
    </sheetView>
  </sheetViews>
  <sheetFormatPr defaultRowHeight="15" x14ac:dyDescent="0.25"/>
  <sheetData>
    <row r="1" spans="1:19" x14ac:dyDescent="0.25">
      <c r="A1" s="1"/>
    </row>
    <row r="2" spans="1:19" x14ac:dyDescent="0.25">
      <c r="A2" s="2"/>
    </row>
    <row r="3" spans="1:19" x14ac:dyDescent="0.25">
      <c r="A3" s="4" t="s">
        <v>10</v>
      </c>
      <c r="B3" s="4" t="s">
        <v>11</v>
      </c>
      <c r="C3" s="4" t="s">
        <v>12</v>
      </c>
      <c r="D3" s="4" t="s">
        <v>13</v>
      </c>
      <c r="E3" s="4" t="s">
        <v>14</v>
      </c>
      <c r="F3" s="4" t="s">
        <v>15</v>
      </c>
      <c r="G3" s="4" t="s">
        <v>16</v>
      </c>
      <c r="H3" s="4" t="s">
        <v>17</v>
      </c>
      <c r="I3" s="4" t="s">
        <v>18</v>
      </c>
      <c r="J3" s="4" t="s">
        <v>19</v>
      </c>
      <c r="K3" s="4" t="s">
        <v>20</v>
      </c>
      <c r="L3" s="4" t="s">
        <v>75</v>
      </c>
      <c r="M3" s="4" t="s">
        <v>76</v>
      </c>
      <c r="N3" s="4" t="s">
        <v>27</v>
      </c>
      <c r="O3" s="4" t="s">
        <v>79</v>
      </c>
      <c r="P3" s="4" t="s">
        <v>14</v>
      </c>
      <c r="Q3" s="4" t="s">
        <v>28</v>
      </c>
      <c r="R3" s="4" t="s">
        <v>29</v>
      </c>
      <c r="S3" s="4" t="s">
        <v>77</v>
      </c>
    </row>
    <row r="4" spans="1:19" ht="45" x14ac:dyDescent="0.25">
      <c r="A4" s="3" t="s">
        <v>48</v>
      </c>
      <c r="B4" s="3" t="s">
        <v>49</v>
      </c>
      <c r="C4" s="3" t="s">
        <v>2</v>
      </c>
      <c r="D4" s="3" t="s">
        <v>50</v>
      </c>
      <c r="E4" s="3">
        <v>4</v>
      </c>
      <c r="F4" s="3">
        <v>4</v>
      </c>
      <c r="G4" s="3">
        <v>1</v>
      </c>
      <c r="H4" s="3">
        <v>3</v>
      </c>
      <c r="I4" s="3">
        <v>9</v>
      </c>
      <c r="J4" s="3" t="s">
        <v>51</v>
      </c>
      <c r="K4" s="3" t="s">
        <v>52</v>
      </c>
    </row>
    <row r="5" spans="1:19" x14ac:dyDescent="0.25">
      <c r="A5" s="1"/>
    </row>
    <row r="6" spans="1:19" x14ac:dyDescent="0.25">
      <c r="A6" s="2"/>
    </row>
    <row r="7" spans="1:19" ht="30" x14ac:dyDescent="0.25">
      <c r="A7" s="3" t="s">
        <v>53</v>
      </c>
      <c r="B7" s="3" t="s">
        <v>49</v>
      </c>
      <c r="C7" s="3" t="s">
        <v>50</v>
      </c>
      <c r="D7" s="3" t="s">
        <v>50</v>
      </c>
      <c r="E7" s="3">
        <v>3</v>
      </c>
      <c r="F7" s="3">
        <v>3</v>
      </c>
      <c r="G7" s="3">
        <v>1</v>
      </c>
      <c r="H7" s="3">
        <v>2</v>
      </c>
      <c r="I7" s="3">
        <v>5</v>
      </c>
      <c r="J7" s="3" t="s">
        <v>32</v>
      </c>
    </row>
    <row r="8" spans="1:19" x14ac:dyDescent="0.25">
      <c r="A8" s="1"/>
    </row>
    <row r="9" spans="1:19" x14ac:dyDescent="0.25">
      <c r="A9" s="2"/>
    </row>
    <row r="10" spans="1:19" ht="30" x14ac:dyDescent="0.25">
      <c r="A10" s="3" t="s">
        <v>54</v>
      </c>
      <c r="B10" s="3" t="s">
        <v>7</v>
      </c>
      <c r="C10" s="3" t="s">
        <v>50</v>
      </c>
      <c r="D10" s="3" t="s">
        <v>50</v>
      </c>
      <c r="E10" s="3">
        <v>3</v>
      </c>
      <c r="F10" s="3">
        <v>3</v>
      </c>
      <c r="G10" s="3">
        <v>1</v>
      </c>
      <c r="H10" s="3">
        <v>1</v>
      </c>
      <c r="I10" s="3">
        <v>5</v>
      </c>
      <c r="J10" s="3" t="s">
        <v>32</v>
      </c>
    </row>
    <row r="12" spans="1:19" ht="30" x14ac:dyDescent="0.25">
      <c r="A12" s="3" t="s">
        <v>73</v>
      </c>
      <c r="B12" s="3" t="s">
        <v>7</v>
      </c>
      <c r="C12" s="3" t="s">
        <v>2</v>
      </c>
      <c r="D12" s="3" t="s">
        <v>50</v>
      </c>
      <c r="E12" s="3">
        <v>4</v>
      </c>
      <c r="F12" s="3">
        <v>4</v>
      </c>
      <c r="G12" s="3">
        <v>3</v>
      </c>
      <c r="H12" s="3">
        <v>3</v>
      </c>
      <c r="I12" s="3">
        <v>9</v>
      </c>
      <c r="J12" s="3" t="s">
        <v>50</v>
      </c>
      <c r="L12" s="3" t="s">
        <v>74</v>
      </c>
      <c r="M12" s="3" t="s">
        <v>6</v>
      </c>
      <c r="N12" s="3" t="s">
        <v>78</v>
      </c>
      <c r="O12" s="3">
        <v>3</v>
      </c>
      <c r="P12" s="3">
        <v>5</v>
      </c>
      <c r="Q12" s="3">
        <v>-1</v>
      </c>
      <c r="R12" s="3">
        <v>1</v>
      </c>
      <c r="S12" s="3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Overview</vt:lpstr>
      <vt:lpstr>Ark2</vt:lpstr>
      <vt:lpstr>Ark3</vt:lpstr>
      <vt:lpstr>Nmy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Jesper</dc:creator>
  <cp:lastModifiedBy>Jesper Krogh Petersen</cp:lastModifiedBy>
  <dcterms:created xsi:type="dcterms:W3CDTF">2019-05-19T06:58:08Z</dcterms:created>
  <dcterms:modified xsi:type="dcterms:W3CDTF">2019-09-27T19:47:13Z</dcterms:modified>
</cp:coreProperties>
</file>